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Backlog" sheetId="1" state="visible" r:id="rId3"/>
    <sheet name="Dashboard" sheetId="2" state="visible" r:id="rId4"/>
    <sheet name="Phase Roadmap" sheetId="3" state="visible" r:id="rId5"/>
    <sheet name="Best Practice Ref" sheetId="4" state="visible" r:id="rId6"/>
  </sheets>
  <definedNames>
    <definedName function="false" hidden="true" localSheetId="0" name="_xlnm._FilterDatabase" vbProcedure="false">'Task Backlog'!$A$1:$O$1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<sst xmlns="http://schemas.openxmlformats.org/spreadsheetml/2006/main" count="653" uniqueCount="373">
  <si>
    <t xml:space="preserve">ID</t>
  </si>
  <si>
    <t xml:space="preserve">Category</t>
  </si>
  <si>
    <t xml:space="preserve">Task</t>
  </si>
  <si>
    <t xml:space="preserve">Description</t>
  </si>
  <si>
    <t xml:space="preserve">Best Practice Ref</t>
  </si>
  <si>
    <t xml:space="preserve">Priority</t>
  </si>
  <si>
    <t xml:space="preserve">Effort (Days)</t>
  </si>
  <si>
    <t xml:space="preserve">Impact (1-5)</t>
  </si>
  <si>
    <t xml:space="preserve">Feasibility (1-5)</t>
  </si>
  <si>
    <t xml:space="preserve">Score</t>
  </si>
  <si>
    <t xml:space="preserve">Phase</t>
  </si>
  <si>
    <t xml:space="preserve">Status</t>
  </si>
  <si>
    <t xml:space="preserve">Dependencies</t>
  </si>
  <si>
    <t xml:space="preserve">Owner</t>
  </si>
  <si>
    <t xml:space="preserve">Notes</t>
  </si>
  <si>
    <t xml:space="preserve">ML-01</t>
  </si>
  <si>
    <t xml:space="preserve">Micro Loop</t>
  </si>
  <si>
    <t xml:space="preserve">Design "Survey Run" pre-level mechanic</t>
  </si>
  <si>
    <t xml:space="preserve">30-second train flyover that reveals terrain/cities before each level starts, delivering instant visual reward</t>
  </si>
  <si>
    <t xml:space="preserve">BP#1: First Fun</t>
  </si>
  <si>
    <t xml:space="preserve">Critical</t>
  </si>
  <si>
    <t xml:space="preserve">Phase 1</t>
  </si>
  <si>
    <t xml:space="preserve">Not Started</t>
  </si>
  <si>
    <t xml:space="preserve">-</t>
  </si>
  <si>
    <t xml:space="preserve">Key D1 retention driver</t>
  </si>
  <si>
    <t xml:space="preserve">ML-02</t>
  </si>
  <si>
    <t xml:space="preserve">Design track-laying puzzle mini-game</t>
  </si>
  <si>
    <t xml:space="preserve">Quick puzzle: connect two cities with minimum cost track. Earns starting bonus. Teaches core mechanic in 60s</t>
  </si>
  <si>
    <t xml:space="preserve">Alternative to ML-01; pick one or both</t>
  </si>
  <si>
    <t xml:space="preserve">ML-03</t>
  </si>
  <si>
    <t xml:space="preserve">Pre-place starter train on Levels 1-5</t>
  </si>
  <si>
    <t xml:space="preserve">First 5 levels begin with a running train on a short route so players see revenue ticking before they build anything</t>
  </si>
  <si>
    <t xml:space="preserve">Lowest effort, highest impact first-fun fix</t>
  </si>
  <si>
    <t xml:space="preserve">ML-04</t>
  </si>
  <si>
    <t xml:space="preserve">Redesign first 60 seconds of Level 1</t>
  </si>
  <si>
    <t xml:space="preserve">Full FTUE redesign: player sees train running → prompted to expand route → instant positive feedback</t>
  </si>
  <si>
    <t xml:space="preserve">Depends on ML-03 being implemented first</t>
  </si>
  <si>
    <t xml:space="preserve">EC-01</t>
  </si>
  <si>
    <t xml:space="preserve">Economy</t>
  </si>
  <si>
    <t xml:space="preserve">Introduce premium currency (Gold Rivets)</t>
  </si>
  <si>
    <t xml:space="preserve">Rare currency earned via achievements/milestones, purchasable $0.99-$4.99. Spent on cosmetics, RP boosters, convenience</t>
  </si>
  <si>
    <t xml:space="preserve">BP#2: Dual Currency</t>
  </si>
  <si>
    <t xml:space="preserve">High</t>
  </si>
  <si>
    <t xml:space="preserve">Core monetization enabler</t>
  </si>
  <si>
    <t xml:space="preserve">EC-02</t>
  </si>
  <si>
    <t xml:space="preserve">Design faucet-drain balance model</t>
  </si>
  <si>
    <t xml:space="preserve">Spreadsheet model mapping all soft ($), hard (Rivets), and RP sources/sinks with target ratios per chapter</t>
  </si>
  <si>
    <t xml:space="preserve">Use Machinations or spreadsheet sim</t>
  </si>
  <si>
    <t xml:space="preserve">EC-03</t>
  </si>
  <si>
    <t xml:space="preserve">Resolve cross-document number inconsistencies</t>
  </si>
  <si>
    <t xml:space="preserve">Fix starting funds ($5K-$15K vs $30K-$70K), RP values (20/35/50 vs 40/70/100), mountain cost (3x vs 4x), hex orientation</t>
  </si>
  <si>
    <t xml:space="preserve">GDD Review §8</t>
  </si>
  <si>
    <t xml:space="preserve">Block other economy work until resolved</t>
  </si>
  <si>
    <t xml:space="preserve">EC-04</t>
  </si>
  <si>
    <t xml:space="preserve">Soften maintenance era scaling</t>
  </si>
  <si>
    <t xml:space="preserve">Change 1.5x per-era multiplier to 1.2x OR decouple from time and tie to player tech choices</t>
  </si>
  <si>
    <t xml:space="preserve">GDD Review §3</t>
  </si>
  <si>
    <t xml:space="preserve">Medium</t>
  </si>
  <si>
    <t xml:space="preserve">Phase 2</t>
  </si>
  <si>
    <t xml:space="preserve">Reduces punishment for slow players</t>
  </si>
  <si>
    <t xml:space="preserve">EC-05</t>
  </si>
  <si>
    <t xml:space="preserve">Increase train retirement refund</t>
  </si>
  <si>
    <t xml:space="preserve">Raise from 25% to 40-50% refund, at least in Chapter 1. Reduces punishment for misclicks on mobile</t>
  </si>
  <si>
    <t xml:space="preserve">Quick win, big UX improvement</t>
  </si>
  <si>
    <t xml:space="preserve">EC-06</t>
  </si>
  <si>
    <t xml:space="preserve">Make T1 upgrades more impactful</t>
  </si>
  <si>
    <t xml:space="preserve">Reduce cost to 30-40 RP OR increase effect to 20-25%. First purchase must feel like a power-up, not a rounding error</t>
  </si>
  <si>
    <t xml:space="preserve">GDD Review §4</t>
  </si>
  <si>
    <t xml:space="preserve">Critical for meta-loop first impression</t>
  </si>
  <si>
    <t xml:space="preserve">MN-01</t>
  </si>
  <si>
    <t xml:space="preserve">Monetization</t>
  </si>
  <si>
    <t xml:space="preserve">Design Engineer's Pass (Season Pass)</t>
  </si>
  <si>
    <t xml:space="preserve">$1.99/month: 2x RP, exclusive train skin, 3 bonus levels, profile badge. Non-pay-to-win recurring revenue</t>
  </si>
  <si>
    <t xml:space="preserve">BP#3: Time Compression</t>
  </si>
  <si>
    <t xml:space="preserve">Primary recurring revenue stream</t>
  </si>
  <si>
    <t xml:space="preserve">MN-02</t>
  </si>
  <si>
    <t xml:space="preserve">Deepen cosmetic catalog</t>
  </si>
  <si>
    <t xml:space="preserve">Expand from ~$10 ceiling to $30+: more train skins, animated effects, station themes, conductor avatars, trail effects</t>
  </si>
  <si>
    <t xml:space="preserve">Current catalog too thin for sustainability</t>
  </si>
  <si>
    <t xml:space="preserve">MN-03</t>
  </si>
  <si>
    <t xml:space="preserve">Design Gold Rivets IAP bundles</t>
  </si>
  <si>
    <t xml:space="preserve">Starter Pack ($0.99), Weekly Deal ($1.99), Value Pack ($4.99). Include rivets + cosmetic preview to drive conversion</t>
  </si>
  <si>
    <t xml:space="preserve">Bridge between free play and spending</t>
  </si>
  <si>
    <t xml:space="preserve">MN-04</t>
  </si>
  <si>
    <t xml:space="preserve">Revise revenue projections</t>
  </si>
  <si>
    <t xml:space="preserve">Lower conversion assumption from 25% to 3-5%. Model revenue with Season Pass + Rivets + cosmetics as primary drivers</t>
  </si>
  <si>
    <t xml:space="preserve">GDD Review §5</t>
  </si>
  <si>
    <t xml:space="preserve">Current projections are 5x too optimistic</t>
  </si>
  <si>
    <t xml:space="preserve">SD-01</t>
  </si>
  <si>
    <t xml:space="preserve">Session Design</t>
  </si>
  <si>
    <t xml:space="preserve">Add passive Railway Network (idle RP)</t>
  </si>
  <si>
    <t xml:space="preserve">Completed levels contribute to persistent network on Meta Hub. Generates 1-3 RP/hour, collected on app open</t>
  </si>
  <si>
    <t xml:space="preserve">BP#6: Multi-Cadence</t>
  </si>
  <si>
    <t xml:space="preserve">Creates between-session check-in reason</t>
  </si>
  <si>
    <t xml:space="preserve">SD-02</t>
  </si>
  <si>
    <t xml:space="preserve">Design daily bonus check-in flow</t>
  </si>
  <si>
    <t xml:space="preserve">24-hour reset: claim RP, see daily challenge, check network earnings. Target: 30-second session</t>
  </si>
  <si>
    <t xml:space="preserve">Drives multi-session habit</t>
  </si>
  <si>
    <t xml:space="preserve">SD-03</t>
  </si>
  <si>
    <t xml:space="preserve">Add Builder's Log notification</t>
  </si>
  <si>
    <t xml:space="preserve">On app open: summary of offline events (network RP earned, daily challenge available, upgrade of the day)</t>
  </si>
  <si>
    <t xml:space="preserve">Makes reopening the app feel rewarding</t>
  </si>
  <si>
    <t xml:space="preserve">SD-04</t>
  </si>
  <si>
    <t xml:space="preserve">Implement Upgrade of the Day rotation</t>
  </si>
  <si>
    <t xml:space="preserve">One random upgrade at 30% discount each day in Upgrade Hub. Creates urgency without FOMO dark pattern</t>
  </si>
  <si>
    <t xml:space="preserve">Low</t>
  </si>
  <si>
    <t xml:space="preserve">Phase 3</t>
  </si>
  <si>
    <t xml:space="preserve">Light engagement hook</t>
  </si>
  <si>
    <t xml:space="preserve">SO-01</t>
  </si>
  <si>
    <t xml:space="preserve">Social</t>
  </si>
  <si>
    <t xml:space="preserve">Add async ghost rivals on level replay</t>
  </si>
  <si>
    <t xml:space="preserve">When replaying, show ghost timeline of player's best run (or friend's). Zero server cost, works offline</t>
  </si>
  <si>
    <t xml:space="preserve">BP#4: Social Systems</t>
  </si>
  <si>
    <t xml:space="preserve">Best effort-to-impact social feature</t>
  </si>
  <si>
    <t xml:space="preserve">SO-02</t>
  </si>
  <si>
    <t xml:space="preserve">Implement Endless Mode weekly leaderboard</t>
  </si>
  <si>
    <t xml:space="preserve">GameCenter / Google Play Games integration. Weekly reset, top-revenue ranking. Designed but not built</t>
  </si>
  <si>
    <t xml:space="preserve">Already in PROGRESSION.md, just needs building</t>
  </si>
  <si>
    <t xml:space="preserve">SO-03</t>
  </si>
  <si>
    <t xml:space="preserve">Add 3-star win share screenshot</t>
  </si>
  <si>
    <t xml:space="preserve">Auto-generate shareable image on 3-star completion with game branding. Free UA / social proof</t>
  </si>
  <si>
    <t xml:space="preserve">Free marketing channel</t>
  </si>
  <si>
    <t xml:space="preserve">SO-04</t>
  </si>
  <si>
    <t xml:space="preserve">Design community weekly challenge</t>
  </si>
  <si>
    <t xml:space="preserve">All players share a level seed, compete on time/revenue via async leaderboard. Reward: bonus RP + badge</t>
  </si>
  <si>
    <t xml:space="preserve">Requires leaderboard infra first</t>
  </si>
  <si>
    <t xml:space="preserve">SO-05</t>
  </si>
  <si>
    <t xml:space="preserve">Design alliance-lite system</t>
  </si>
  <si>
    <t xml:space="preserve">Small co-op groups with shared RP pool bonuses, cooperative challenge targets. No chat, no real-time</t>
  </si>
  <si>
    <t xml:space="preserve">Only if game succeeds; high effort</t>
  </si>
  <si>
    <t xml:space="preserve">VR-01</t>
  </si>
  <si>
    <t xml:space="preserve">Variable Rewards</t>
  </si>
  <si>
    <t xml:space="preserve">Add bonus RP roll on level complete</t>
  </si>
  <si>
    <t xml:space="preserve">Post-level wheel/card flip: 0-30 bonus RP (EV ~10). Adds surprise to every completion without feeling manipulative</t>
  </si>
  <si>
    <t xml:space="preserve">BP#9: Variable Rewards</t>
  </si>
  <si>
    <t xml:space="preserve">Simple to build, meaningful engagement lift</t>
  </si>
  <si>
    <t xml:space="preserve">VR-02</t>
  </si>
  <si>
    <t xml:space="preserve">Design random in-level events</t>
  </si>
  <si>
    <t xml:space="preserve">2-3 event types: resource boom (+50% revenue tile), track grant (free segment), bonus city appears. 10-15% chance per level</t>
  </si>
  <si>
    <t xml:space="preserve">Makes each playthrough feel different</t>
  </si>
  <si>
    <t xml:space="preserve">VR-03</t>
  </si>
  <si>
    <t xml:space="preserve">Add daily mystery chest</t>
  </si>
  <si>
    <t xml:space="preserve">Login reward: small chest with random cosmetic shard OR RP bonus OR Gold Rivet. Drives daily open</t>
  </si>
  <si>
    <t xml:space="preserve">Requires premium currency system first</t>
  </si>
  <si>
    <t xml:space="preserve">LO-01</t>
  </si>
  <si>
    <t xml:space="preserve">LiveOps</t>
  </si>
  <si>
    <t xml:space="preserve">Build Daily Challenge system</t>
  </si>
  <si>
    <t xml:space="preserve">Already fully designed in PROGRESSION.md. Implement: speed runs, minimalist, train limit, no demolish, star hunt</t>
  </si>
  <si>
    <t xml:space="preserve">BP#7: Event-Driven</t>
  </si>
  <si>
    <t xml:space="preserve">Designed but not coded; highest-priority event</t>
  </si>
  <si>
    <t xml:space="preserve">LO-02</t>
  </si>
  <si>
    <t xml:space="preserve">Design monthly seasonal theme system</t>
  </si>
  <si>
    <t xml:space="preserve">Visual theme swap (autumn, winter, spring) with themed challenge set and exclusive cosmetic reward per season</t>
  </si>
  <si>
    <t xml:space="preserve">LO-01, MN-02</t>
  </si>
  <si>
    <t xml:space="preserve">Requires cosmetic catalog depth</t>
  </si>
  <si>
    <t xml:space="preserve">LO-03</t>
  </si>
  <si>
    <t xml:space="preserve">Design quarterly season reset + pass content</t>
  </si>
  <si>
    <t xml:space="preserve">Season Pass content rotation, leaderboard reset, season-exclusive train skin. Drives recurring engagement</t>
  </si>
  <si>
    <t xml:space="preserve">MN-01, LO-01</t>
  </si>
  <si>
    <t xml:space="preserve">Requires Season Pass infrastructure</t>
  </si>
  <si>
    <t xml:space="preserve">LO-04</t>
  </si>
  <si>
    <t xml:space="preserve">Create LiveOps content calendar template</t>
  </si>
  <si>
    <t xml:space="preserve">12-month calendar of events: daily, weekly, seasonal, limited. Plan content pipeline for post-launch</t>
  </si>
  <si>
    <t xml:space="preserve">Planning artifact, not code</t>
  </si>
  <si>
    <t xml:space="preserve">OB-01</t>
  </si>
  <si>
    <t xml:space="preserve">Onboarding</t>
  </si>
  <si>
    <t xml:space="preserve">Redesign FTUE with progressive disclosure</t>
  </si>
  <si>
    <t xml:space="preserve">Hide tech tree, research, and advanced tools for first 15 min. Reveal systems one at a time over first hour</t>
  </si>
  <si>
    <t xml:space="preserve">BP#8: Progressive Disclosure</t>
  </si>
  <si>
    <t xml:space="preserve">Current design shows full UI immediately</t>
  </si>
  <si>
    <t xml:space="preserve">OB-02</t>
  </si>
  <si>
    <t xml:space="preserve">Add Meta Hub onboarding tour</t>
  </si>
  <si>
    <t xml:space="preserve">Post-Level-1 guided tour: highlight Upgrade Hub, explain RP, walk through first upgrade purchase</t>
  </si>
  <si>
    <t xml:space="preserve">GDD Review §6</t>
  </si>
  <si>
    <t xml:space="preserve">Currently no guidance for upgrade system</t>
  </si>
  <si>
    <t xml:space="preserve">OB-03</t>
  </si>
  <si>
    <t xml:space="preserve">Define haptic feedback events</t>
  </si>
  <si>
    <t xml:space="preserve">Light tap: hex select. Medium: track place. Heavy: train purchase. Success: level complete. Warning: bankruptcy near</t>
  </si>
  <si>
    <t xml:space="preserve">Capacitor Haptics already in dependencies</t>
  </si>
  <si>
    <t xml:space="preserve">OB-04</t>
  </si>
  <si>
    <t xml:space="preserve">Design notification queue for mobile</t>
  </si>
  <si>
    <t xml:space="preserve">Replace 1-toast-at-2.5s with sequential queue + bell icon log. Prevents missing 80% of delivery notifications</t>
  </si>
  <si>
    <t xml:space="preserve">Important for information clarity</t>
  </si>
  <si>
    <t xml:space="preserve">LD-01</t>
  </si>
  <si>
    <t xml:space="preserve">Level Design</t>
  </si>
  <si>
    <t xml:space="preserve">Design Chapter 2 in full detail</t>
  </si>
  <si>
    <t xml:space="preserve">Complete level configs for all 12 levels: starting funds, time limits, star conditions, map seeds. This is the conversion chapter</t>
  </si>
  <si>
    <t xml:space="preserve">GDD Review §7</t>
  </si>
  <si>
    <t xml:space="preserve">Paywall chapter must be best-designed content</t>
  </si>
  <si>
    <t xml:space="preserve">LD-02</t>
  </si>
  <si>
    <t xml:space="preserve">Expand objective variety</t>
  </si>
  <si>
    <t xml:space="preserve">Add efficiency, time-pressure, and scenario objectives beyond connect/earn. At least 3 new objective types for Ch2-5</t>
  </si>
  <si>
    <t xml:space="preserve">5 types across 60 levels will feel repetitive</t>
  </si>
  <si>
    <t xml:space="preserve">LD-03</t>
  </si>
  <si>
    <t xml:space="preserve">Design optional Casual Mode</t>
  </si>
  <si>
    <t xml:space="preserve">Toggle: remove time limits, soften bankruptcy. Tradeoff: max 1-star. Expands audience without diluting challenge</t>
  </si>
  <si>
    <t xml:space="preserve">Accessibility feature, low effort</t>
  </si>
  <si>
    <t xml:space="preserve">LD-04</t>
  </si>
  <si>
    <t xml:space="preserve">Add intermediate career rank</t>
  </si>
  <si>
    <t xml:space="preserve">Insert rank at 15-18 levels between Track Foreman (10) and Railway Manager (25). Gap is too large currently</t>
  </si>
  <si>
    <t xml:space="preserve">Quick fix, smooths progression pacing</t>
  </si>
  <si>
    <t xml:space="preserve">LD-05</t>
  </si>
  <si>
    <t xml:space="preserve">Design prestige/reset mechanic</t>
  </si>
  <si>
    <t xml:space="preserve">Optional campaign reset for cosmetic rewards + small permanent bonus. Gives completionists a long-tail loop</t>
  </si>
  <si>
    <t xml:space="preserve">Only relevant once all 60 levels exist</t>
  </si>
  <si>
    <t xml:space="preserve">AI-01</t>
  </si>
  <si>
    <t xml:space="preserve">Analytics</t>
  </si>
  <si>
    <t xml:space="preserve">Define analytics event plan</t>
  </si>
  <si>
    <t xml:space="preserve">Key events: level_start, level_complete, star_earned, rp_spent, train_purchased, session_length, funnel_step, iap_triggered</t>
  </si>
  <si>
    <t xml:space="preserve">GDD Review §9</t>
  </si>
  <si>
    <t xml:space="preserve">Cannot optimize what you don't measure</t>
  </si>
  <si>
    <t xml:space="preserve">AI-02</t>
  </si>
  <si>
    <t xml:space="preserve">Design A/B test framework for economy</t>
  </si>
  <si>
    <t xml:space="preserve">Test starting funds, RP amounts, upgrade costs, train refund %. Need at least 2 cohorts for Ch1 economy tuning</t>
  </si>
  <si>
    <t xml:space="preserve">Requires analytics pipeline first</t>
  </si>
  <si>
    <t xml:space="preserve">AI-03</t>
  </si>
  <si>
    <t xml:space="preserve">Implement auto-save and recovery</t>
  </si>
  <si>
    <t xml:space="preserve">Define save frequency (every in-game month?), recovery flow on crash, state validation on load</t>
  </si>
  <si>
    <t xml:space="preserve">Critical for mobile where interruptions are frequent</t>
  </si>
  <si>
    <t xml:space="preserve">AI-04</t>
  </si>
  <si>
    <t xml:space="preserve">Plan localization pipeline</t>
  </si>
  <si>
    <t xml:space="preserve">String extraction, translation workflow, RTL support assessment. Priority markets: Japan, Korea, Germany, France</t>
  </si>
  <si>
    <t xml:space="preserve">Revenue unlock for international markets</t>
  </si>
  <si>
    <t xml:space="preserve">Iron Dominion — Implementation Dashboard</t>
  </si>
  <si>
    <t xml:space="preserve">Total Tasks</t>
  </si>
  <si>
    <t xml:space="preserve">Total Effort (Days)</t>
  </si>
  <si>
    <t xml:space="preserve">Tasks by Category</t>
  </si>
  <si>
    <t xml:space="preserve">Count</t>
  </si>
  <si>
    <t xml:space="preserve">Avg Score</t>
  </si>
  <si>
    <t xml:space="preserve">TOTAL</t>
  </si>
  <si>
    <t xml:space="preserve">Tasks by Phase</t>
  </si>
  <si>
    <t xml:space="preserve">Implementation Roadmap</t>
  </si>
  <si>
    <t xml:space="preserve">PHASE 1: Foundation (Weeks 1-6)</t>
  </si>
  <si>
    <t xml:space="preserve">Goal</t>
  </si>
  <si>
    <t xml:space="preserve">Fix the first 60 seconds, resolve economy inconsistencies, enable monetization infrastructure</t>
  </si>
  <si>
    <t xml:space="preserve">Focus Area</t>
  </si>
  <si>
    <t xml:space="preserve">Key Deliverable</t>
  </si>
  <si>
    <t xml:space="preserve">Effort</t>
  </si>
  <si>
    <t xml:space="preserve">KPI Target</t>
  </si>
  <si>
    <t xml:space="preserve">Tasks</t>
  </si>
  <si>
    <t xml:space="preserve">First Fun</t>
  </si>
  <si>
    <t xml:space="preserve">Pre-placed trains + redesigned Level 1 FTUE</t>
  </si>
  <si>
    <t xml:space="preserve">8 days</t>
  </si>
  <si>
    <t xml:space="preserve">Time to first reward &lt; 30s</t>
  </si>
  <si>
    <t xml:space="preserve">ML-03, ML-04</t>
  </si>
  <si>
    <t xml:space="preserve">Economy Fix</t>
  </si>
  <si>
    <t xml:space="preserve">Single source of truth for all numbers</t>
  </si>
  <si>
    <t xml:space="preserve">2 days</t>
  </si>
  <si>
    <t xml:space="preserve">Zero cross-doc conflicts</t>
  </si>
  <si>
    <t xml:space="preserve">Premium Currency</t>
  </si>
  <si>
    <t xml:space="preserve">Gold Rivets system designed + implemented</t>
  </si>
  <si>
    <t xml:space="preserve">10 days</t>
  </si>
  <si>
    <t xml:space="preserve">Currency visible in Meta Hub</t>
  </si>
  <si>
    <t xml:space="preserve">EC-01, EC-02</t>
  </si>
  <si>
    <t xml:space="preserve">Upgrade Rebalance</t>
  </si>
  <si>
    <t xml:space="preserve">T1 upgrades feel impactful</t>
  </si>
  <si>
    <t xml:space="preserve">First upgrade purchase rate &gt; 80%</t>
  </si>
  <si>
    <t xml:space="preserve">EC-06, EC-05</t>
  </si>
  <si>
    <t xml:space="preserve">Progressive disclosure + Meta Hub tour</t>
  </si>
  <si>
    <t xml:space="preserve">D1 retention &gt; 40%</t>
  </si>
  <si>
    <t xml:space="preserve">OB-01, OB-02, OB-03</t>
  </si>
  <si>
    <t xml:space="preserve">Chapter 2 Design</t>
  </si>
  <si>
    <t xml:space="preserve">Full level configs for conversion chapter</t>
  </si>
  <si>
    <t xml:space="preserve">Chapter 2 completion &gt; 50%</t>
  </si>
  <si>
    <t xml:space="preserve">Event tracking + auto-save</t>
  </si>
  <si>
    <t xml:space="preserve">All key funnels tracked</t>
  </si>
  <si>
    <t xml:space="preserve">AI-01, AI-03</t>
  </si>
  <si>
    <t xml:space="preserve">Revenue Model</t>
  </si>
  <si>
    <t xml:space="preserve">Revised projections with new monetization</t>
  </si>
  <si>
    <t xml:space="preserve">3 days</t>
  </si>
  <si>
    <t xml:space="preserve">Realistic financial plan</t>
  </si>
  <si>
    <t xml:space="preserve">PHASE 2: Retention &amp; Revenue (Weeks 7-14)</t>
  </si>
  <si>
    <t xml:space="preserve">Add session hooks, social features, variable rewards, and Season Pass to drive D7/D30 retention and recurring revenue</t>
  </si>
  <si>
    <t xml:space="preserve">Season Pass</t>
  </si>
  <si>
    <t xml:space="preserve">Engineer's Pass live with first season content</t>
  </si>
  <si>
    <t xml:space="preserve">5% conversion in Month 1</t>
  </si>
  <si>
    <t xml:space="preserve">Cosmetic Depth</t>
  </si>
  <si>
    <t xml:space="preserve">Catalog expanded to $30+ ceiling</t>
  </si>
  <si>
    <t xml:space="preserve">12 days</t>
  </si>
  <si>
    <t xml:space="preserve">10% cosmetic purchase rate</t>
  </si>
  <si>
    <t xml:space="preserve">MN-02, MN-03</t>
  </si>
  <si>
    <t xml:space="preserve">Idle Layer</t>
  </si>
  <si>
    <t xml:space="preserve">Railway Network passive RP generation</t>
  </si>
  <si>
    <t xml:space="preserve">2+ daily sessions avg</t>
  </si>
  <si>
    <t xml:space="preserve">SD-01, SD-02, SD-03</t>
  </si>
  <si>
    <t xml:space="preserve">Ghost rivals + Endless leaderboard + share</t>
  </si>
  <si>
    <t xml:space="preserve">15 days</t>
  </si>
  <si>
    <t xml:space="preserve">D30 retention &gt; 12%</t>
  </si>
  <si>
    <t xml:space="preserve">SO-01, SO-02, SO-03</t>
  </si>
  <si>
    <t xml:space="preserve">Bonus roll + random events + mystery chest</t>
  </si>
  <si>
    <t xml:space="preserve">13 days</t>
  </si>
  <si>
    <t xml:space="preserve">Level replay rate +20%</t>
  </si>
  <si>
    <t xml:space="preserve">VR-01, VR-02, VR-03</t>
  </si>
  <si>
    <t xml:space="preserve">Daily Challenges</t>
  </si>
  <si>
    <t xml:space="preserve">Full daily challenge system live</t>
  </si>
  <si>
    <t xml:space="preserve">70% of active players attempt daily</t>
  </si>
  <si>
    <t xml:space="preserve">Level Variety</t>
  </si>
  <si>
    <t xml:space="preserve">New objective types + Casual Mode</t>
  </si>
  <si>
    <t xml:space="preserve">Ch2-3 completion &gt; 40%</t>
  </si>
  <si>
    <t xml:space="preserve">LD-02, LD-03</t>
  </si>
  <si>
    <t xml:space="preserve">Economy Tuning</t>
  </si>
  <si>
    <t xml:space="preserve">A/B test framework + maintenance rebalance</t>
  </si>
  <si>
    <t xml:space="preserve">Bankrupt rate &lt; 15%</t>
  </si>
  <si>
    <t xml:space="preserve">AI-02, EC-04</t>
  </si>
  <si>
    <t xml:space="preserve">PHASE 3: Scale &amp; Polish (Weeks 15-22)</t>
  </si>
  <si>
    <t xml:space="preserve">LiveOps pipeline, community features, internationalization, and long-tail engagement systems</t>
  </si>
  <si>
    <t xml:space="preserve">Seasonal themes + quarterly season reset</t>
  </si>
  <si>
    <t xml:space="preserve">18 days</t>
  </si>
  <si>
    <t xml:space="preserve">MAU stable Month 3+</t>
  </si>
  <si>
    <t xml:space="preserve">LO-02, LO-03, LO-04</t>
  </si>
  <si>
    <t xml:space="preserve">Community</t>
  </si>
  <si>
    <t xml:space="preserve">Weekly challenge + alliance-lite (if warranted)</t>
  </si>
  <si>
    <t xml:space="preserve">23 days</t>
  </si>
  <si>
    <t xml:space="preserve">30% of DAU in social feature</t>
  </si>
  <si>
    <t xml:space="preserve">SO-04, SO-05</t>
  </si>
  <si>
    <t xml:space="preserve">Long-tail</t>
  </si>
  <si>
    <t xml:space="preserve">Prestige system + career rank polish</t>
  </si>
  <si>
    <t xml:space="preserve">7 days</t>
  </si>
  <si>
    <t xml:space="preserve">10% prestige adoption</t>
  </si>
  <si>
    <t xml:space="preserve">LD-05, LD-04, SD-04</t>
  </si>
  <si>
    <t xml:space="preserve">International</t>
  </si>
  <si>
    <t xml:space="preserve">Localization pipeline for 4 markets</t>
  </si>
  <si>
    <t xml:space="preserve">5 days</t>
  </si>
  <si>
    <t xml:space="preserve">15% revenue from non-English</t>
  </si>
  <si>
    <t xml:space="preserve">Best Practice Reference Table</t>
  </si>
  <si>
    <t xml:space="preserve">Best Practice</t>
  </si>
  <si>
    <t xml:space="preserve">Summary</t>
  </si>
  <si>
    <t xml:space="preserve">Iron Dominion Gap</t>
  </si>
  <si>
    <t xml:space="preserve">Source</t>
  </si>
  <si>
    <t xml:space="preserve">BP#1</t>
  </si>
  <si>
    <t xml:space="preserve">First Fun Principle</t>
  </si>
  <si>
    <t xml:space="preserve">First 60s must deliver instant gratification via simple, self-contained mechanic</t>
  </si>
  <si>
    <t xml:space="preserve">Large: 2-4 min build phase before first reward</t>
  </si>
  <si>
    <t xml:space="preserve">GameMakers, GameRefinery</t>
  </si>
  <si>
    <t xml:space="preserve">BP#2</t>
  </si>
  <si>
    <t xml:space="preserve">Dual-Currency Economy</t>
  </si>
  <si>
    <t xml:space="preserve">Soft + Hard + Social currencies with balanced faucets/drains</t>
  </si>
  <si>
    <t xml:space="preserve">Large: Only $ and RP, no premium or social currency</t>
  </si>
  <si>
    <t xml:space="preserve">Lost Garden, Kallist</t>
  </si>
  <si>
    <t xml:space="preserve">BP#3</t>
  </si>
  <si>
    <t xml:space="preserve">Time Compression Monetization</t>
  </si>
  <si>
    <t xml:space="preserve">Speed-ups as primary revenue driver, open-ended LTV</t>
  </si>
  <si>
    <t xml:space="preserve">Large: One-time $3.99, capped LTV at ~$14</t>
  </si>
  <si>
    <t xml:space="preserve">ThinkingData, DoF</t>
  </si>
  <si>
    <t xml:space="preserve">BP#4</t>
  </si>
  <si>
    <t xml:space="preserve">Social/Alliance Systems</t>
  </si>
  <si>
    <t xml:space="preserve">Alliance within 48hrs, daily social obligations, alliance shop</t>
  </si>
  <si>
    <t xml:space="preserve">Critical: Zero social features</t>
  </si>
  <si>
    <t xml:space="preserve">GameRefinery, ThinkingData</t>
  </si>
  <si>
    <t xml:space="preserve">BP#5</t>
  </si>
  <si>
    <t xml:space="preserve">Hybridization</t>
  </si>
  <si>
    <t xml:space="preserve">Casual mechanic + 4X depth for broader audience</t>
  </si>
  <si>
    <t xml:space="preserve">Medium: Tycoon framing is good but no dedicated micro loop</t>
  </si>
  <si>
    <t xml:space="preserve">GameRefinery, Naavik</t>
  </si>
  <si>
    <t xml:space="preserve">BP#6</t>
  </si>
  <si>
    <t xml:space="preserve">Multi-Cadence Sessions</t>
  </si>
  <si>
    <t xml:space="preserve">3-5 daily sessions of varying length</t>
  </si>
  <si>
    <t xml:space="preserve">Large: Single 10-15 min session, no quick-check flow</t>
  </si>
  <si>
    <t xml:space="preserve">GameAnalytics</t>
  </si>
  <si>
    <t xml:space="preserve">BP#7</t>
  </si>
  <si>
    <t xml:space="preserve">Event-Driven LiveOps</t>
  </si>
  <si>
    <t xml:space="preserve">3-5 overlapping events at all times post-launch</t>
  </si>
  <si>
    <t xml:space="preserve">Large: Daily Challenges designed but not built, no other events</t>
  </si>
  <si>
    <t xml:space="preserve">DoF, GameRefinery</t>
  </si>
  <si>
    <t xml:space="preserve">BP#8</t>
  </si>
  <si>
    <t xml:space="preserve">Progressive Disclosure</t>
  </si>
  <si>
    <t xml:space="preserve">Hide complexity for first hour, reveal over 7 days</t>
  </si>
  <si>
    <t xml:space="preserve">Medium: Full UI visible from start, tutorial covers 3 levels</t>
  </si>
  <si>
    <t xml:space="preserve">Last War analysis</t>
  </si>
  <si>
    <t xml:space="preserve">BP#9</t>
  </si>
  <si>
    <t xml:space="preserve">Mystery chests, random events, bonus rolls</t>
  </si>
  <si>
    <t xml:space="preserve">Medium: 100% deterministic rewards</t>
  </si>
  <si>
    <t xml:space="preserve">Player psych research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</si>
</sst>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E2029"/>
      <name val="Arial"/>
      <family val="0"/>
      <charset val="1"/>
    </font>
    <font>
      <b val="true"/>
      <sz val="16"/>
      <color rgb="FF1E202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4"/>
      <color rgb="FF2C3E6B"/>
      <name val="Arial"/>
      <family val="0"/>
      <charset val="1"/>
    </font>
    <font>
      <b val="true"/>
      <sz val="24"/>
      <color rgb="FFC0392B"/>
      <name val="Arial"/>
      <family val="0"/>
      <charset val="1"/>
    </font>
    <font>
      <b val="true"/>
      <sz val="24"/>
      <color rgb="FFE67E22"/>
      <name val="Arial"/>
      <family val="0"/>
      <charset val="1"/>
    </font>
    <font>
      <b val="true"/>
      <sz val="24"/>
      <color rgb="FFF1C40F"/>
      <name val="Arial"/>
      <family val="0"/>
      <charset val="1"/>
    </font>
    <font>
      <b val="true"/>
      <sz val="24"/>
      <color rgb="FF27AE60"/>
      <name val="Arial"/>
      <family val="0"/>
      <charset val="1"/>
    </font>
    <font>
      <b val="true"/>
      <sz val="12"/>
      <color rgb="FF2C3E6B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3E6B"/>
        <bgColor rgb="FF003366"/>
      </patternFill>
    </fill>
    <fill>
      <patternFill patternType="solid">
        <fgColor rgb="FFFFF8E7"/>
        <bgColor rgb="FFF5F5F5"/>
      </patternFill>
    </fill>
    <fill>
      <patternFill patternType="solid">
        <fgColor rgb="FFC0392B"/>
        <bgColor rgb="FF993366"/>
      </patternFill>
    </fill>
    <fill>
      <patternFill patternType="solid">
        <fgColor rgb="FFBDC3C7"/>
        <bgColor rgb="FFCCCCCC"/>
      </patternFill>
    </fill>
    <fill>
      <patternFill patternType="solid">
        <fgColor rgb="FFF5F5F5"/>
        <bgColor rgb="FFFFF8E7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C3E6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8E7"/>
      <rgbColor rgb="FFF5F5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2C3E6B"/>
      <rgbColor rgb="FF1E20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3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5" hidden="false" customHeight="tru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 t="s">
        <v>20</v>
      </c>
      <c r="G2" s="2" t="n">
        <v>5</v>
      </c>
      <c r="H2" s="2" t="n">
        <v>5</v>
      </c>
      <c r="I2" s="2" t="n">
        <v>4</v>
      </c>
      <c r="J2" s="5" t="n">
        <f aca="false">H2*I2</f>
        <v>20</v>
      </c>
      <c r="K2" s="2" t="s">
        <v>21</v>
      </c>
      <c r="L2" s="6" t="s">
        <v>22</v>
      </c>
      <c r="M2" s="3" t="s">
        <v>23</v>
      </c>
      <c r="N2" s="3"/>
      <c r="O2" s="3" t="s">
        <v>24</v>
      </c>
    </row>
    <row r="3" customFormat="false" ht="45" hidden="false" customHeight="true" outlineLevel="0" collapsed="false">
      <c r="A3" s="7" t="s">
        <v>25</v>
      </c>
      <c r="B3" s="8" t="s">
        <v>16</v>
      </c>
      <c r="C3" s="8" t="s">
        <v>26</v>
      </c>
      <c r="D3" s="8" t="s">
        <v>27</v>
      </c>
      <c r="E3" s="8" t="s">
        <v>19</v>
      </c>
      <c r="F3" s="4" t="s">
        <v>20</v>
      </c>
      <c r="G3" s="7" t="n">
        <v>8</v>
      </c>
      <c r="H3" s="7" t="n">
        <v>5</v>
      </c>
      <c r="I3" s="7" t="n">
        <v>3</v>
      </c>
      <c r="J3" s="9" t="n">
        <f aca="false">H3*I3</f>
        <v>15</v>
      </c>
      <c r="K3" s="7" t="s">
        <v>21</v>
      </c>
      <c r="L3" s="6" t="s">
        <v>22</v>
      </c>
      <c r="M3" s="8" t="s">
        <v>23</v>
      </c>
      <c r="N3" s="8"/>
      <c r="O3" s="8" t="s">
        <v>28</v>
      </c>
    </row>
    <row r="4" customFormat="false" ht="45" hidden="false" customHeight="true" outlineLevel="0" collapsed="false">
      <c r="A4" s="2" t="s">
        <v>29</v>
      </c>
      <c r="B4" s="3" t="s">
        <v>16</v>
      </c>
      <c r="C4" s="3" t="s">
        <v>30</v>
      </c>
      <c r="D4" s="3" t="s">
        <v>31</v>
      </c>
      <c r="E4" s="3" t="s">
        <v>19</v>
      </c>
      <c r="F4" s="4" t="s">
        <v>20</v>
      </c>
      <c r="G4" s="2" t="n">
        <v>3</v>
      </c>
      <c r="H4" s="2" t="n">
        <v>5</v>
      </c>
      <c r="I4" s="2" t="n">
        <v>5</v>
      </c>
      <c r="J4" s="5" t="n">
        <f aca="false">H4*I4</f>
        <v>25</v>
      </c>
      <c r="K4" s="2" t="s">
        <v>21</v>
      </c>
      <c r="L4" s="6" t="s">
        <v>22</v>
      </c>
      <c r="M4" s="3" t="s">
        <v>23</v>
      </c>
      <c r="N4" s="3"/>
      <c r="O4" s="3" t="s">
        <v>32</v>
      </c>
    </row>
    <row r="5" customFormat="false" ht="45" hidden="false" customHeight="true" outlineLevel="0" collapsed="false">
      <c r="A5" s="7" t="s">
        <v>33</v>
      </c>
      <c r="B5" s="8" t="s">
        <v>16</v>
      </c>
      <c r="C5" s="8" t="s">
        <v>34</v>
      </c>
      <c r="D5" s="8" t="s">
        <v>35</v>
      </c>
      <c r="E5" s="8" t="s">
        <v>19</v>
      </c>
      <c r="F5" s="4" t="s">
        <v>20</v>
      </c>
      <c r="G5" s="7" t="n">
        <v>5</v>
      </c>
      <c r="H5" s="7" t="n">
        <v>5</v>
      </c>
      <c r="I5" s="7" t="n">
        <v>4</v>
      </c>
      <c r="J5" s="9" t="n">
        <f aca="false">H5*I5</f>
        <v>20</v>
      </c>
      <c r="K5" s="7" t="s">
        <v>21</v>
      </c>
      <c r="L5" s="6" t="s">
        <v>22</v>
      </c>
      <c r="M5" s="8" t="s">
        <v>29</v>
      </c>
      <c r="N5" s="8"/>
      <c r="O5" s="8" t="s">
        <v>36</v>
      </c>
    </row>
    <row r="6" customFormat="false" ht="45" hidden="false" customHeight="true" outlineLevel="0" collapsed="false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10" t="s">
        <v>42</v>
      </c>
      <c r="G6" s="2" t="n">
        <v>10</v>
      </c>
      <c r="H6" s="2" t="n">
        <v>5</v>
      </c>
      <c r="I6" s="2" t="n">
        <v>3</v>
      </c>
      <c r="J6" s="5" t="n">
        <f aca="false">H6*I6</f>
        <v>15</v>
      </c>
      <c r="K6" s="2" t="s">
        <v>21</v>
      </c>
      <c r="L6" s="6" t="s">
        <v>22</v>
      </c>
      <c r="M6" s="3" t="s">
        <v>23</v>
      </c>
      <c r="N6" s="3"/>
      <c r="O6" s="3" t="s">
        <v>43</v>
      </c>
    </row>
    <row r="7" customFormat="false" ht="45" hidden="false" customHeight="true" outlineLevel="0" collapsed="false">
      <c r="A7" s="7" t="s">
        <v>44</v>
      </c>
      <c r="B7" s="8" t="s">
        <v>38</v>
      </c>
      <c r="C7" s="8" t="s">
        <v>45</v>
      </c>
      <c r="D7" s="8" t="s">
        <v>46</v>
      </c>
      <c r="E7" s="8" t="s">
        <v>41</v>
      </c>
      <c r="F7" s="10" t="s">
        <v>42</v>
      </c>
      <c r="G7" s="7" t="n">
        <v>5</v>
      </c>
      <c r="H7" s="7" t="n">
        <v>4</v>
      </c>
      <c r="I7" s="7" t="n">
        <v>4</v>
      </c>
      <c r="J7" s="9" t="n">
        <f aca="false">H7*I7</f>
        <v>16</v>
      </c>
      <c r="K7" s="7" t="s">
        <v>21</v>
      </c>
      <c r="L7" s="6" t="s">
        <v>22</v>
      </c>
      <c r="M7" s="8" t="s">
        <v>37</v>
      </c>
      <c r="N7" s="8"/>
      <c r="O7" s="8" t="s">
        <v>47</v>
      </c>
    </row>
    <row r="8" customFormat="false" ht="45" hidden="false" customHeight="true" outlineLevel="0" collapsed="false">
      <c r="A8" s="2" t="s">
        <v>48</v>
      </c>
      <c r="B8" s="3" t="s">
        <v>38</v>
      </c>
      <c r="C8" s="3" t="s">
        <v>49</v>
      </c>
      <c r="D8" s="3" t="s">
        <v>50</v>
      </c>
      <c r="E8" s="3" t="s">
        <v>51</v>
      </c>
      <c r="F8" s="4" t="s">
        <v>20</v>
      </c>
      <c r="G8" s="2" t="n">
        <v>2</v>
      </c>
      <c r="H8" s="2" t="n">
        <v>4</v>
      </c>
      <c r="I8" s="2" t="n">
        <v>5</v>
      </c>
      <c r="J8" s="5" t="n">
        <f aca="false">H8*I8</f>
        <v>20</v>
      </c>
      <c r="K8" s="2" t="s">
        <v>21</v>
      </c>
      <c r="L8" s="6" t="s">
        <v>22</v>
      </c>
      <c r="M8" s="3" t="s">
        <v>23</v>
      </c>
      <c r="N8" s="3"/>
      <c r="O8" s="3" t="s">
        <v>52</v>
      </c>
    </row>
    <row r="9" customFormat="false" ht="45" hidden="false" customHeight="true" outlineLevel="0" collapsed="false">
      <c r="A9" s="7" t="s">
        <v>53</v>
      </c>
      <c r="B9" s="8" t="s">
        <v>38</v>
      </c>
      <c r="C9" s="8" t="s">
        <v>54</v>
      </c>
      <c r="D9" s="8" t="s">
        <v>55</v>
      </c>
      <c r="E9" s="8" t="s">
        <v>56</v>
      </c>
      <c r="F9" s="11" t="s">
        <v>57</v>
      </c>
      <c r="G9" s="7" t="n">
        <v>3</v>
      </c>
      <c r="H9" s="7" t="n">
        <v>3</v>
      </c>
      <c r="I9" s="7" t="n">
        <v>5</v>
      </c>
      <c r="J9" s="9" t="n">
        <f aca="false">H9*I9</f>
        <v>15</v>
      </c>
      <c r="K9" s="7" t="s">
        <v>58</v>
      </c>
      <c r="L9" s="6" t="s">
        <v>22</v>
      </c>
      <c r="M9" s="8" t="s">
        <v>48</v>
      </c>
      <c r="N9" s="8"/>
      <c r="O9" s="8" t="s">
        <v>59</v>
      </c>
    </row>
    <row r="10" customFormat="false" ht="45" hidden="false" customHeight="true" outlineLevel="0" collapsed="false">
      <c r="A10" s="2" t="s">
        <v>60</v>
      </c>
      <c r="B10" s="3" t="s">
        <v>38</v>
      </c>
      <c r="C10" s="3" t="s">
        <v>61</v>
      </c>
      <c r="D10" s="3" t="s">
        <v>62</v>
      </c>
      <c r="E10" s="3" t="s">
        <v>56</v>
      </c>
      <c r="F10" s="11" t="s">
        <v>57</v>
      </c>
      <c r="G10" s="2" t="n">
        <v>1</v>
      </c>
      <c r="H10" s="2" t="n">
        <v>3</v>
      </c>
      <c r="I10" s="2" t="n">
        <v>5</v>
      </c>
      <c r="J10" s="5" t="n">
        <f aca="false">H10*I10</f>
        <v>15</v>
      </c>
      <c r="K10" s="2" t="s">
        <v>21</v>
      </c>
      <c r="L10" s="6" t="s">
        <v>22</v>
      </c>
      <c r="M10" s="3" t="s">
        <v>23</v>
      </c>
      <c r="N10" s="3"/>
      <c r="O10" s="3" t="s">
        <v>63</v>
      </c>
    </row>
    <row r="11" customFormat="false" ht="45" hidden="false" customHeight="true" outlineLevel="0" collapsed="false">
      <c r="A11" s="7" t="s">
        <v>64</v>
      </c>
      <c r="B11" s="8" t="s">
        <v>38</v>
      </c>
      <c r="C11" s="8" t="s">
        <v>65</v>
      </c>
      <c r="D11" s="8" t="s">
        <v>66</v>
      </c>
      <c r="E11" s="8" t="s">
        <v>67</v>
      </c>
      <c r="F11" s="10" t="s">
        <v>42</v>
      </c>
      <c r="G11" s="7" t="n">
        <v>2</v>
      </c>
      <c r="H11" s="7" t="n">
        <v>4</v>
      </c>
      <c r="I11" s="7" t="n">
        <v>5</v>
      </c>
      <c r="J11" s="9" t="n">
        <f aca="false">H11*I11</f>
        <v>20</v>
      </c>
      <c r="K11" s="7" t="s">
        <v>21</v>
      </c>
      <c r="L11" s="6" t="s">
        <v>22</v>
      </c>
      <c r="M11" s="8" t="s">
        <v>23</v>
      </c>
      <c r="N11" s="8"/>
      <c r="O11" s="8" t="s">
        <v>68</v>
      </c>
    </row>
    <row r="12" customFormat="false" ht="45" hidden="false" customHeight="true" outlineLevel="0" collapsed="false">
      <c r="A12" s="2" t="s">
        <v>69</v>
      </c>
      <c r="B12" s="3" t="s">
        <v>70</v>
      </c>
      <c r="C12" s="3" t="s">
        <v>71</v>
      </c>
      <c r="D12" s="3" t="s">
        <v>72</v>
      </c>
      <c r="E12" s="3" t="s">
        <v>73</v>
      </c>
      <c r="F12" s="10" t="s">
        <v>42</v>
      </c>
      <c r="G12" s="2" t="n">
        <v>8</v>
      </c>
      <c r="H12" s="2" t="n">
        <v>5</v>
      </c>
      <c r="I12" s="2" t="n">
        <v>3</v>
      </c>
      <c r="J12" s="5" t="n">
        <f aca="false">H12*I12</f>
        <v>15</v>
      </c>
      <c r="K12" s="2" t="s">
        <v>58</v>
      </c>
      <c r="L12" s="6" t="s">
        <v>22</v>
      </c>
      <c r="M12" s="3" t="s">
        <v>37</v>
      </c>
      <c r="N12" s="3"/>
      <c r="O12" s="3" t="s">
        <v>74</v>
      </c>
    </row>
    <row r="13" customFormat="false" ht="45" hidden="false" customHeight="true" outlineLevel="0" collapsed="false">
      <c r="A13" s="7" t="s">
        <v>75</v>
      </c>
      <c r="B13" s="8" t="s">
        <v>70</v>
      </c>
      <c r="C13" s="8" t="s">
        <v>76</v>
      </c>
      <c r="D13" s="8" t="s">
        <v>77</v>
      </c>
      <c r="E13" s="8" t="s">
        <v>73</v>
      </c>
      <c r="F13" s="10" t="s">
        <v>42</v>
      </c>
      <c r="G13" s="7" t="n">
        <v>12</v>
      </c>
      <c r="H13" s="7" t="n">
        <v>4</v>
      </c>
      <c r="I13" s="7" t="n">
        <v>3</v>
      </c>
      <c r="J13" s="9" t="n">
        <f aca="false">H13*I13</f>
        <v>12</v>
      </c>
      <c r="K13" s="7" t="s">
        <v>58</v>
      </c>
      <c r="L13" s="6" t="s">
        <v>22</v>
      </c>
      <c r="M13" s="8" t="s">
        <v>23</v>
      </c>
      <c r="N13" s="8"/>
      <c r="O13" s="8" t="s">
        <v>78</v>
      </c>
    </row>
    <row r="14" customFormat="false" ht="45" hidden="false" customHeight="true" outlineLevel="0" collapsed="false">
      <c r="A14" s="2" t="s">
        <v>79</v>
      </c>
      <c r="B14" s="3" t="s">
        <v>70</v>
      </c>
      <c r="C14" s="3" t="s">
        <v>80</v>
      </c>
      <c r="D14" s="3" t="s">
        <v>81</v>
      </c>
      <c r="E14" s="3" t="s">
        <v>73</v>
      </c>
      <c r="F14" s="10" t="s">
        <v>42</v>
      </c>
      <c r="G14" s="2" t="n">
        <v>5</v>
      </c>
      <c r="H14" s="2" t="n">
        <v>5</v>
      </c>
      <c r="I14" s="2" t="n">
        <v>4</v>
      </c>
      <c r="J14" s="5" t="n">
        <f aca="false">H14*I14</f>
        <v>20</v>
      </c>
      <c r="K14" s="2" t="s">
        <v>58</v>
      </c>
      <c r="L14" s="6" t="s">
        <v>22</v>
      </c>
      <c r="M14" s="3" t="s">
        <v>37</v>
      </c>
      <c r="N14" s="3"/>
      <c r="O14" s="3" t="s">
        <v>82</v>
      </c>
    </row>
    <row r="15" customFormat="false" ht="45" hidden="false" customHeight="true" outlineLevel="0" collapsed="false">
      <c r="A15" s="7" t="s">
        <v>83</v>
      </c>
      <c r="B15" s="8" t="s">
        <v>70</v>
      </c>
      <c r="C15" s="8" t="s">
        <v>84</v>
      </c>
      <c r="D15" s="8" t="s">
        <v>85</v>
      </c>
      <c r="E15" s="8" t="s">
        <v>86</v>
      </c>
      <c r="F15" s="10" t="s">
        <v>42</v>
      </c>
      <c r="G15" s="7" t="n">
        <v>3</v>
      </c>
      <c r="H15" s="7" t="n">
        <v>3</v>
      </c>
      <c r="I15" s="7" t="n">
        <v>5</v>
      </c>
      <c r="J15" s="9" t="n">
        <f aca="false">H15*I15</f>
        <v>15</v>
      </c>
      <c r="K15" s="7" t="s">
        <v>21</v>
      </c>
      <c r="L15" s="6" t="s">
        <v>22</v>
      </c>
      <c r="M15" s="8" t="s">
        <v>23</v>
      </c>
      <c r="N15" s="8"/>
      <c r="O15" s="8" t="s">
        <v>87</v>
      </c>
    </row>
    <row r="16" customFormat="false" ht="45" hidden="false" customHeight="true" outlineLevel="0" collapsed="false">
      <c r="A16" s="2" t="s">
        <v>88</v>
      </c>
      <c r="B16" s="3" t="s">
        <v>89</v>
      </c>
      <c r="C16" s="3" t="s">
        <v>90</v>
      </c>
      <c r="D16" s="3" t="s">
        <v>91</v>
      </c>
      <c r="E16" s="3" t="s">
        <v>92</v>
      </c>
      <c r="F16" s="10" t="s">
        <v>42</v>
      </c>
      <c r="G16" s="2" t="n">
        <v>8</v>
      </c>
      <c r="H16" s="2" t="n">
        <v>5</v>
      </c>
      <c r="I16" s="2" t="n">
        <v>3</v>
      </c>
      <c r="J16" s="5" t="n">
        <f aca="false">H16*I16</f>
        <v>15</v>
      </c>
      <c r="K16" s="2" t="s">
        <v>58</v>
      </c>
      <c r="L16" s="6" t="s">
        <v>22</v>
      </c>
      <c r="M16" s="3" t="s">
        <v>23</v>
      </c>
      <c r="N16" s="3"/>
      <c r="O16" s="3" t="s">
        <v>93</v>
      </c>
    </row>
    <row r="17" customFormat="false" ht="45" hidden="false" customHeight="true" outlineLevel="0" collapsed="false">
      <c r="A17" s="7" t="s">
        <v>94</v>
      </c>
      <c r="B17" s="8" t="s">
        <v>89</v>
      </c>
      <c r="C17" s="8" t="s">
        <v>95</v>
      </c>
      <c r="D17" s="8" t="s">
        <v>96</v>
      </c>
      <c r="E17" s="8" t="s">
        <v>92</v>
      </c>
      <c r="F17" s="11" t="s">
        <v>57</v>
      </c>
      <c r="G17" s="7" t="n">
        <v>5</v>
      </c>
      <c r="H17" s="7" t="n">
        <v>4</v>
      </c>
      <c r="I17" s="7" t="n">
        <v>4</v>
      </c>
      <c r="J17" s="9" t="n">
        <f aca="false">H17*I17</f>
        <v>16</v>
      </c>
      <c r="K17" s="7" t="s">
        <v>58</v>
      </c>
      <c r="L17" s="6" t="s">
        <v>22</v>
      </c>
      <c r="M17" s="8" t="s">
        <v>88</v>
      </c>
      <c r="N17" s="8"/>
      <c r="O17" s="8" t="s">
        <v>97</v>
      </c>
    </row>
    <row r="18" customFormat="false" ht="45" hidden="false" customHeight="true" outlineLevel="0" collapsed="false">
      <c r="A18" s="2" t="s">
        <v>98</v>
      </c>
      <c r="B18" s="3" t="s">
        <v>89</v>
      </c>
      <c r="C18" s="3" t="s">
        <v>99</v>
      </c>
      <c r="D18" s="3" t="s">
        <v>100</v>
      </c>
      <c r="E18" s="3" t="s">
        <v>92</v>
      </c>
      <c r="F18" s="11" t="s">
        <v>57</v>
      </c>
      <c r="G18" s="2" t="n">
        <v>4</v>
      </c>
      <c r="H18" s="2" t="n">
        <v>3</v>
      </c>
      <c r="I18" s="2" t="n">
        <v>4</v>
      </c>
      <c r="J18" s="5" t="n">
        <f aca="false">H18*I18</f>
        <v>12</v>
      </c>
      <c r="K18" s="2" t="s">
        <v>58</v>
      </c>
      <c r="L18" s="6" t="s">
        <v>22</v>
      </c>
      <c r="M18" s="3" t="s">
        <v>88</v>
      </c>
      <c r="N18" s="3"/>
      <c r="O18" s="3" t="s">
        <v>101</v>
      </c>
    </row>
    <row r="19" customFormat="false" ht="45" hidden="false" customHeight="true" outlineLevel="0" collapsed="false">
      <c r="A19" s="7" t="s">
        <v>102</v>
      </c>
      <c r="B19" s="8" t="s">
        <v>89</v>
      </c>
      <c r="C19" s="8" t="s">
        <v>103</v>
      </c>
      <c r="D19" s="8" t="s">
        <v>104</v>
      </c>
      <c r="E19" s="8" t="s">
        <v>92</v>
      </c>
      <c r="F19" s="12" t="s">
        <v>105</v>
      </c>
      <c r="G19" s="7" t="n">
        <v>3</v>
      </c>
      <c r="H19" s="7" t="n">
        <v>2</v>
      </c>
      <c r="I19" s="7" t="n">
        <v>4</v>
      </c>
      <c r="J19" s="9" t="n">
        <f aca="false">H19*I19</f>
        <v>8</v>
      </c>
      <c r="K19" s="7" t="s">
        <v>106</v>
      </c>
      <c r="L19" s="6" t="s">
        <v>22</v>
      </c>
      <c r="M19" s="8" t="s">
        <v>23</v>
      </c>
      <c r="N19" s="8"/>
      <c r="O19" s="8" t="s">
        <v>107</v>
      </c>
    </row>
    <row r="20" customFormat="false" ht="45" hidden="false" customHeight="true" outlineLevel="0" collapsed="false">
      <c r="A20" s="2" t="s">
        <v>108</v>
      </c>
      <c r="B20" s="3" t="s">
        <v>109</v>
      </c>
      <c r="C20" s="3" t="s">
        <v>110</v>
      </c>
      <c r="D20" s="3" t="s">
        <v>111</v>
      </c>
      <c r="E20" s="3" t="s">
        <v>112</v>
      </c>
      <c r="F20" s="10" t="s">
        <v>42</v>
      </c>
      <c r="G20" s="2" t="n">
        <v>6</v>
      </c>
      <c r="H20" s="2" t="n">
        <v>4</v>
      </c>
      <c r="I20" s="2" t="n">
        <v>4</v>
      </c>
      <c r="J20" s="5" t="n">
        <f aca="false">H20*I20</f>
        <v>16</v>
      </c>
      <c r="K20" s="2" t="s">
        <v>58</v>
      </c>
      <c r="L20" s="6" t="s">
        <v>22</v>
      </c>
      <c r="M20" s="3" t="s">
        <v>23</v>
      </c>
      <c r="N20" s="3"/>
      <c r="O20" s="3" t="s">
        <v>113</v>
      </c>
    </row>
    <row r="21" customFormat="false" ht="45" hidden="false" customHeight="true" outlineLevel="0" collapsed="false">
      <c r="A21" s="7" t="s">
        <v>114</v>
      </c>
      <c r="B21" s="8" t="s">
        <v>109</v>
      </c>
      <c r="C21" s="8" t="s">
        <v>115</v>
      </c>
      <c r="D21" s="8" t="s">
        <v>116</v>
      </c>
      <c r="E21" s="8" t="s">
        <v>112</v>
      </c>
      <c r="F21" s="10" t="s">
        <v>42</v>
      </c>
      <c r="G21" s="7" t="n">
        <v>5</v>
      </c>
      <c r="H21" s="7" t="n">
        <v>4</v>
      </c>
      <c r="I21" s="7" t="n">
        <v>3</v>
      </c>
      <c r="J21" s="9" t="n">
        <f aca="false">H21*I21</f>
        <v>12</v>
      </c>
      <c r="K21" s="7" t="s">
        <v>58</v>
      </c>
      <c r="L21" s="6" t="s">
        <v>22</v>
      </c>
      <c r="M21" s="8" t="s">
        <v>23</v>
      </c>
      <c r="N21" s="8"/>
      <c r="O21" s="8" t="s">
        <v>117</v>
      </c>
    </row>
    <row r="22" customFormat="false" ht="45" hidden="false" customHeight="true" outlineLevel="0" collapsed="false">
      <c r="A22" s="2" t="s">
        <v>118</v>
      </c>
      <c r="B22" s="3" t="s">
        <v>109</v>
      </c>
      <c r="C22" s="3" t="s">
        <v>119</v>
      </c>
      <c r="D22" s="3" t="s">
        <v>120</v>
      </c>
      <c r="E22" s="3" t="s">
        <v>112</v>
      </c>
      <c r="F22" s="11" t="s">
        <v>57</v>
      </c>
      <c r="G22" s="2" t="n">
        <v>4</v>
      </c>
      <c r="H22" s="2" t="n">
        <v>3</v>
      </c>
      <c r="I22" s="2" t="n">
        <v>4</v>
      </c>
      <c r="J22" s="5" t="n">
        <f aca="false">H22*I22</f>
        <v>12</v>
      </c>
      <c r="K22" s="2" t="s">
        <v>58</v>
      </c>
      <c r="L22" s="6" t="s">
        <v>22</v>
      </c>
      <c r="M22" s="3" t="s">
        <v>23</v>
      </c>
      <c r="N22" s="3"/>
      <c r="O22" s="3" t="s">
        <v>121</v>
      </c>
    </row>
    <row r="23" customFormat="false" ht="45" hidden="false" customHeight="true" outlineLevel="0" collapsed="false">
      <c r="A23" s="7" t="s">
        <v>122</v>
      </c>
      <c r="B23" s="8" t="s">
        <v>109</v>
      </c>
      <c r="C23" s="8" t="s">
        <v>123</v>
      </c>
      <c r="D23" s="8" t="s">
        <v>124</v>
      </c>
      <c r="E23" s="8" t="s">
        <v>112</v>
      </c>
      <c r="F23" s="11" t="s">
        <v>57</v>
      </c>
      <c r="G23" s="7" t="n">
        <v>8</v>
      </c>
      <c r="H23" s="7" t="n">
        <v>4</v>
      </c>
      <c r="I23" s="7" t="n">
        <v>3</v>
      </c>
      <c r="J23" s="9" t="n">
        <f aca="false">H23*I23</f>
        <v>12</v>
      </c>
      <c r="K23" s="7" t="s">
        <v>106</v>
      </c>
      <c r="L23" s="6" t="s">
        <v>22</v>
      </c>
      <c r="M23" s="8" t="s">
        <v>114</v>
      </c>
      <c r="N23" s="8"/>
      <c r="O23" s="8" t="s">
        <v>125</v>
      </c>
    </row>
    <row r="24" customFormat="false" ht="45" hidden="false" customHeight="true" outlineLevel="0" collapsed="false">
      <c r="A24" s="2" t="s">
        <v>126</v>
      </c>
      <c r="B24" s="3" t="s">
        <v>109</v>
      </c>
      <c r="C24" s="3" t="s">
        <v>127</v>
      </c>
      <c r="D24" s="3" t="s">
        <v>128</v>
      </c>
      <c r="E24" s="3" t="s">
        <v>112</v>
      </c>
      <c r="F24" s="12" t="s">
        <v>105</v>
      </c>
      <c r="G24" s="2" t="n">
        <v>15</v>
      </c>
      <c r="H24" s="2" t="n">
        <v>4</v>
      </c>
      <c r="I24" s="2" t="n">
        <v>2</v>
      </c>
      <c r="J24" s="5" t="n">
        <f aca="false">H24*I24</f>
        <v>8</v>
      </c>
      <c r="K24" s="2" t="s">
        <v>106</v>
      </c>
      <c r="L24" s="6" t="s">
        <v>22</v>
      </c>
      <c r="M24" s="3" t="s">
        <v>114</v>
      </c>
      <c r="N24" s="3"/>
      <c r="O24" s="3" t="s">
        <v>129</v>
      </c>
    </row>
    <row r="25" customFormat="false" ht="45" hidden="false" customHeight="true" outlineLevel="0" collapsed="false">
      <c r="A25" s="7" t="s">
        <v>130</v>
      </c>
      <c r="B25" s="8" t="s">
        <v>131</v>
      </c>
      <c r="C25" s="8" t="s">
        <v>132</v>
      </c>
      <c r="D25" s="8" t="s">
        <v>133</v>
      </c>
      <c r="E25" s="8" t="s">
        <v>134</v>
      </c>
      <c r="F25" s="11" t="s">
        <v>57</v>
      </c>
      <c r="G25" s="7" t="n">
        <v>4</v>
      </c>
      <c r="H25" s="7" t="n">
        <v>4</v>
      </c>
      <c r="I25" s="7" t="n">
        <v>5</v>
      </c>
      <c r="J25" s="9" t="n">
        <f aca="false">H25*I25</f>
        <v>20</v>
      </c>
      <c r="K25" s="7" t="s">
        <v>58</v>
      </c>
      <c r="L25" s="6" t="s">
        <v>22</v>
      </c>
      <c r="M25" s="8" t="s">
        <v>23</v>
      </c>
      <c r="N25" s="8"/>
      <c r="O25" s="8" t="s">
        <v>135</v>
      </c>
    </row>
    <row r="26" customFormat="false" ht="45" hidden="false" customHeight="true" outlineLevel="0" collapsed="false">
      <c r="A26" s="2" t="s">
        <v>136</v>
      </c>
      <c r="B26" s="3" t="s">
        <v>131</v>
      </c>
      <c r="C26" s="3" t="s">
        <v>137</v>
      </c>
      <c r="D26" s="3" t="s">
        <v>138</v>
      </c>
      <c r="E26" s="3" t="s">
        <v>134</v>
      </c>
      <c r="F26" s="11" t="s">
        <v>57</v>
      </c>
      <c r="G26" s="2" t="n">
        <v>6</v>
      </c>
      <c r="H26" s="2" t="n">
        <v>4</v>
      </c>
      <c r="I26" s="2" t="n">
        <v>3</v>
      </c>
      <c r="J26" s="5" t="n">
        <f aca="false">H26*I26</f>
        <v>12</v>
      </c>
      <c r="K26" s="2" t="s">
        <v>58</v>
      </c>
      <c r="L26" s="6" t="s">
        <v>22</v>
      </c>
      <c r="M26" s="3" t="s">
        <v>23</v>
      </c>
      <c r="N26" s="3"/>
      <c r="O26" s="3" t="s">
        <v>139</v>
      </c>
    </row>
    <row r="27" customFormat="false" ht="45" hidden="false" customHeight="true" outlineLevel="0" collapsed="false">
      <c r="A27" s="7" t="s">
        <v>140</v>
      </c>
      <c r="B27" s="8" t="s">
        <v>131</v>
      </c>
      <c r="C27" s="8" t="s">
        <v>141</v>
      </c>
      <c r="D27" s="8" t="s">
        <v>142</v>
      </c>
      <c r="E27" s="8" t="s">
        <v>134</v>
      </c>
      <c r="F27" s="11" t="s">
        <v>57</v>
      </c>
      <c r="G27" s="7" t="n">
        <v>3</v>
      </c>
      <c r="H27" s="7" t="n">
        <v>3</v>
      </c>
      <c r="I27" s="7" t="n">
        <v>4</v>
      </c>
      <c r="J27" s="9" t="n">
        <f aca="false">H27*I27</f>
        <v>12</v>
      </c>
      <c r="K27" s="7" t="s">
        <v>58</v>
      </c>
      <c r="L27" s="6" t="s">
        <v>22</v>
      </c>
      <c r="M27" s="8" t="s">
        <v>37</v>
      </c>
      <c r="N27" s="8"/>
      <c r="O27" s="8" t="s">
        <v>143</v>
      </c>
    </row>
    <row r="28" customFormat="false" ht="45" hidden="false" customHeight="true" outlineLevel="0" collapsed="false">
      <c r="A28" s="2" t="s">
        <v>144</v>
      </c>
      <c r="B28" s="3" t="s">
        <v>145</v>
      </c>
      <c r="C28" s="3" t="s">
        <v>146</v>
      </c>
      <c r="D28" s="3" t="s">
        <v>147</v>
      </c>
      <c r="E28" s="3" t="s">
        <v>148</v>
      </c>
      <c r="F28" s="10" t="s">
        <v>42</v>
      </c>
      <c r="G28" s="2" t="n">
        <v>8</v>
      </c>
      <c r="H28" s="2" t="n">
        <v>4</v>
      </c>
      <c r="I28" s="2" t="n">
        <v>4</v>
      </c>
      <c r="J28" s="5" t="n">
        <f aca="false">H28*I28</f>
        <v>16</v>
      </c>
      <c r="K28" s="2" t="s">
        <v>58</v>
      </c>
      <c r="L28" s="6" t="s">
        <v>22</v>
      </c>
      <c r="M28" s="3" t="s">
        <v>23</v>
      </c>
      <c r="N28" s="3"/>
      <c r="O28" s="3" t="s">
        <v>149</v>
      </c>
    </row>
    <row r="29" customFormat="false" ht="45" hidden="false" customHeight="true" outlineLevel="0" collapsed="false">
      <c r="A29" s="7" t="s">
        <v>150</v>
      </c>
      <c r="B29" s="8" t="s">
        <v>145</v>
      </c>
      <c r="C29" s="8" t="s">
        <v>151</v>
      </c>
      <c r="D29" s="8" t="s">
        <v>152</v>
      </c>
      <c r="E29" s="8" t="s">
        <v>148</v>
      </c>
      <c r="F29" s="11" t="s">
        <v>57</v>
      </c>
      <c r="G29" s="7" t="n">
        <v>10</v>
      </c>
      <c r="H29" s="7" t="n">
        <v>3</v>
      </c>
      <c r="I29" s="7" t="n">
        <v>3</v>
      </c>
      <c r="J29" s="9" t="n">
        <f aca="false">H29*I29</f>
        <v>9</v>
      </c>
      <c r="K29" s="7" t="s">
        <v>106</v>
      </c>
      <c r="L29" s="6" t="s">
        <v>22</v>
      </c>
      <c r="M29" s="8" t="s">
        <v>153</v>
      </c>
      <c r="N29" s="8"/>
      <c r="O29" s="8" t="s">
        <v>154</v>
      </c>
    </row>
    <row r="30" customFormat="false" ht="45" hidden="false" customHeight="true" outlineLevel="0" collapsed="false">
      <c r="A30" s="2" t="s">
        <v>155</v>
      </c>
      <c r="B30" s="3" t="s">
        <v>145</v>
      </c>
      <c r="C30" s="3" t="s">
        <v>156</v>
      </c>
      <c r="D30" s="3" t="s">
        <v>157</v>
      </c>
      <c r="E30" s="3" t="s">
        <v>148</v>
      </c>
      <c r="F30" s="11" t="s">
        <v>57</v>
      </c>
      <c r="G30" s="2" t="n">
        <v>8</v>
      </c>
      <c r="H30" s="2" t="n">
        <v>3</v>
      </c>
      <c r="I30" s="2" t="n">
        <v>2</v>
      </c>
      <c r="J30" s="5" t="n">
        <f aca="false">H30*I30</f>
        <v>6</v>
      </c>
      <c r="K30" s="2" t="s">
        <v>106</v>
      </c>
      <c r="L30" s="6" t="s">
        <v>22</v>
      </c>
      <c r="M30" s="3" t="s">
        <v>158</v>
      </c>
      <c r="N30" s="3"/>
      <c r="O30" s="3" t="s">
        <v>159</v>
      </c>
    </row>
    <row r="31" customFormat="false" ht="45" hidden="false" customHeight="true" outlineLevel="0" collapsed="false">
      <c r="A31" s="7" t="s">
        <v>160</v>
      </c>
      <c r="B31" s="8" t="s">
        <v>145</v>
      </c>
      <c r="C31" s="8" t="s">
        <v>161</v>
      </c>
      <c r="D31" s="8" t="s">
        <v>162</v>
      </c>
      <c r="E31" s="8" t="s">
        <v>148</v>
      </c>
      <c r="F31" s="11" t="s">
        <v>57</v>
      </c>
      <c r="G31" s="7" t="n">
        <v>3</v>
      </c>
      <c r="H31" s="7" t="n">
        <v>3</v>
      </c>
      <c r="I31" s="7" t="n">
        <v>5</v>
      </c>
      <c r="J31" s="9" t="n">
        <f aca="false">H31*I31</f>
        <v>15</v>
      </c>
      <c r="K31" s="7" t="s">
        <v>58</v>
      </c>
      <c r="L31" s="6" t="s">
        <v>22</v>
      </c>
      <c r="M31" s="8" t="s">
        <v>23</v>
      </c>
      <c r="N31" s="8"/>
      <c r="O31" s="8" t="s">
        <v>163</v>
      </c>
    </row>
    <row r="32" customFormat="false" ht="45" hidden="false" customHeight="true" outlineLevel="0" collapsed="false">
      <c r="A32" s="2" t="s">
        <v>164</v>
      </c>
      <c r="B32" s="3" t="s">
        <v>165</v>
      </c>
      <c r="C32" s="3" t="s">
        <v>166</v>
      </c>
      <c r="D32" s="3" t="s">
        <v>167</v>
      </c>
      <c r="E32" s="3" t="s">
        <v>168</v>
      </c>
      <c r="F32" s="10" t="s">
        <v>42</v>
      </c>
      <c r="G32" s="2" t="n">
        <v>6</v>
      </c>
      <c r="H32" s="2" t="n">
        <v>5</v>
      </c>
      <c r="I32" s="2" t="n">
        <v>4</v>
      </c>
      <c r="J32" s="5" t="n">
        <f aca="false">H32*I32</f>
        <v>20</v>
      </c>
      <c r="K32" s="2" t="s">
        <v>21</v>
      </c>
      <c r="L32" s="6" t="s">
        <v>22</v>
      </c>
      <c r="M32" s="3" t="s">
        <v>29</v>
      </c>
      <c r="N32" s="3"/>
      <c r="O32" s="3" t="s">
        <v>169</v>
      </c>
    </row>
    <row r="33" customFormat="false" ht="45" hidden="false" customHeight="true" outlineLevel="0" collapsed="false">
      <c r="A33" s="7" t="s">
        <v>170</v>
      </c>
      <c r="B33" s="8" t="s">
        <v>165</v>
      </c>
      <c r="C33" s="8" t="s">
        <v>171</v>
      </c>
      <c r="D33" s="8" t="s">
        <v>172</v>
      </c>
      <c r="E33" s="8" t="s">
        <v>173</v>
      </c>
      <c r="F33" s="10" t="s">
        <v>42</v>
      </c>
      <c r="G33" s="7" t="n">
        <v>4</v>
      </c>
      <c r="H33" s="7" t="n">
        <v>4</v>
      </c>
      <c r="I33" s="7" t="n">
        <v>5</v>
      </c>
      <c r="J33" s="9" t="n">
        <f aca="false">H33*I33</f>
        <v>20</v>
      </c>
      <c r="K33" s="7" t="s">
        <v>21</v>
      </c>
      <c r="L33" s="6" t="s">
        <v>22</v>
      </c>
      <c r="M33" s="8" t="s">
        <v>23</v>
      </c>
      <c r="N33" s="8"/>
      <c r="O33" s="8" t="s">
        <v>174</v>
      </c>
    </row>
    <row r="34" customFormat="false" ht="45" hidden="false" customHeight="true" outlineLevel="0" collapsed="false">
      <c r="A34" s="2" t="s">
        <v>175</v>
      </c>
      <c r="B34" s="3" t="s">
        <v>165</v>
      </c>
      <c r="C34" s="3" t="s">
        <v>176</v>
      </c>
      <c r="D34" s="3" t="s">
        <v>177</v>
      </c>
      <c r="E34" s="3" t="s">
        <v>173</v>
      </c>
      <c r="F34" s="11" t="s">
        <v>57</v>
      </c>
      <c r="G34" s="2" t="n">
        <v>3</v>
      </c>
      <c r="H34" s="2" t="n">
        <v>3</v>
      </c>
      <c r="I34" s="2" t="n">
        <v>5</v>
      </c>
      <c r="J34" s="5" t="n">
        <f aca="false">H34*I34</f>
        <v>15</v>
      </c>
      <c r="K34" s="2" t="s">
        <v>21</v>
      </c>
      <c r="L34" s="6" t="s">
        <v>22</v>
      </c>
      <c r="M34" s="3" t="s">
        <v>23</v>
      </c>
      <c r="N34" s="3"/>
      <c r="O34" s="3" t="s">
        <v>178</v>
      </c>
    </row>
    <row r="35" customFormat="false" ht="45" hidden="false" customHeight="true" outlineLevel="0" collapsed="false">
      <c r="A35" s="7" t="s">
        <v>179</v>
      </c>
      <c r="B35" s="8" t="s">
        <v>165</v>
      </c>
      <c r="C35" s="8" t="s">
        <v>180</v>
      </c>
      <c r="D35" s="8" t="s">
        <v>181</v>
      </c>
      <c r="E35" s="8" t="s">
        <v>173</v>
      </c>
      <c r="F35" s="11" t="s">
        <v>57</v>
      </c>
      <c r="G35" s="7" t="n">
        <v>4</v>
      </c>
      <c r="H35" s="7" t="n">
        <v>3</v>
      </c>
      <c r="I35" s="7" t="n">
        <v>4</v>
      </c>
      <c r="J35" s="9" t="n">
        <f aca="false">H35*I35</f>
        <v>12</v>
      </c>
      <c r="K35" s="7" t="s">
        <v>21</v>
      </c>
      <c r="L35" s="6" t="s">
        <v>22</v>
      </c>
      <c r="M35" s="8" t="s">
        <v>23</v>
      </c>
      <c r="N35" s="8"/>
      <c r="O35" s="8" t="s">
        <v>182</v>
      </c>
    </row>
    <row r="36" customFormat="false" ht="45" hidden="false" customHeight="true" outlineLevel="0" collapsed="false">
      <c r="A36" s="2" t="s">
        <v>183</v>
      </c>
      <c r="B36" s="3" t="s">
        <v>184</v>
      </c>
      <c r="C36" s="3" t="s">
        <v>185</v>
      </c>
      <c r="D36" s="3" t="s">
        <v>186</v>
      </c>
      <c r="E36" s="3" t="s">
        <v>187</v>
      </c>
      <c r="F36" s="4" t="s">
        <v>20</v>
      </c>
      <c r="G36" s="2" t="n">
        <v>8</v>
      </c>
      <c r="H36" s="2" t="n">
        <v>5</v>
      </c>
      <c r="I36" s="2" t="n">
        <v>4</v>
      </c>
      <c r="J36" s="5" t="n">
        <f aca="false">H36*I36</f>
        <v>20</v>
      </c>
      <c r="K36" s="2" t="s">
        <v>21</v>
      </c>
      <c r="L36" s="6" t="s">
        <v>22</v>
      </c>
      <c r="M36" s="3" t="s">
        <v>48</v>
      </c>
      <c r="N36" s="3"/>
      <c r="O36" s="3" t="s">
        <v>188</v>
      </c>
    </row>
    <row r="37" customFormat="false" ht="45" hidden="false" customHeight="true" outlineLevel="0" collapsed="false">
      <c r="A37" s="7" t="s">
        <v>189</v>
      </c>
      <c r="B37" s="8" t="s">
        <v>184</v>
      </c>
      <c r="C37" s="8" t="s">
        <v>190</v>
      </c>
      <c r="D37" s="8" t="s">
        <v>191</v>
      </c>
      <c r="E37" s="8" t="s">
        <v>187</v>
      </c>
      <c r="F37" s="10" t="s">
        <v>42</v>
      </c>
      <c r="G37" s="7" t="n">
        <v>6</v>
      </c>
      <c r="H37" s="7" t="n">
        <v>4</v>
      </c>
      <c r="I37" s="7" t="n">
        <v>4</v>
      </c>
      <c r="J37" s="9" t="n">
        <f aca="false">H37*I37</f>
        <v>16</v>
      </c>
      <c r="K37" s="7" t="s">
        <v>58</v>
      </c>
      <c r="L37" s="6" t="s">
        <v>22</v>
      </c>
      <c r="M37" s="8" t="s">
        <v>183</v>
      </c>
      <c r="N37" s="8"/>
      <c r="O37" s="8" t="s">
        <v>192</v>
      </c>
    </row>
    <row r="38" customFormat="false" ht="45" hidden="false" customHeight="true" outlineLevel="0" collapsed="false">
      <c r="A38" s="2" t="s">
        <v>193</v>
      </c>
      <c r="B38" s="3" t="s">
        <v>184</v>
      </c>
      <c r="C38" s="3" t="s">
        <v>194</v>
      </c>
      <c r="D38" s="3" t="s">
        <v>195</v>
      </c>
      <c r="E38" s="3" t="s">
        <v>187</v>
      </c>
      <c r="F38" s="11" t="s">
        <v>57</v>
      </c>
      <c r="G38" s="2" t="n">
        <v>4</v>
      </c>
      <c r="H38" s="2" t="n">
        <v>3</v>
      </c>
      <c r="I38" s="2" t="n">
        <v>5</v>
      </c>
      <c r="J38" s="5" t="n">
        <f aca="false">H38*I38</f>
        <v>15</v>
      </c>
      <c r="K38" s="2" t="s">
        <v>58</v>
      </c>
      <c r="L38" s="6" t="s">
        <v>22</v>
      </c>
      <c r="M38" s="3" t="s">
        <v>23</v>
      </c>
      <c r="N38" s="3"/>
      <c r="O38" s="3" t="s">
        <v>196</v>
      </c>
    </row>
    <row r="39" customFormat="false" ht="45" hidden="false" customHeight="true" outlineLevel="0" collapsed="false">
      <c r="A39" s="7" t="s">
        <v>197</v>
      </c>
      <c r="B39" s="8" t="s">
        <v>184</v>
      </c>
      <c r="C39" s="8" t="s">
        <v>198</v>
      </c>
      <c r="D39" s="8" t="s">
        <v>199</v>
      </c>
      <c r="E39" s="8" t="s">
        <v>67</v>
      </c>
      <c r="F39" s="12" t="s">
        <v>105</v>
      </c>
      <c r="G39" s="7" t="n">
        <v>1</v>
      </c>
      <c r="H39" s="7" t="n">
        <v>2</v>
      </c>
      <c r="I39" s="7" t="n">
        <v>5</v>
      </c>
      <c r="J39" s="9" t="n">
        <f aca="false">H39*I39</f>
        <v>10</v>
      </c>
      <c r="K39" s="7" t="s">
        <v>58</v>
      </c>
      <c r="L39" s="6" t="s">
        <v>22</v>
      </c>
      <c r="M39" s="8" t="s">
        <v>23</v>
      </c>
      <c r="N39" s="8"/>
      <c r="O39" s="8" t="s">
        <v>200</v>
      </c>
    </row>
    <row r="40" customFormat="false" ht="45" hidden="false" customHeight="true" outlineLevel="0" collapsed="false">
      <c r="A40" s="2" t="s">
        <v>201</v>
      </c>
      <c r="B40" s="3" t="s">
        <v>184</v>
      </c>
      <c r="C40" s="3" t="s">
        <v>202</v>
      </c>
      <c r="D40" s="3" t="s">
        <v>203</v>
      </c>
      <c r="E40" s="3" t="s">
        <v>67</v>
      </c>
      <c r="F40" s="12" t="s">
        <v>105</v>
      </c>
      <c r="G40" s="2" t="n">
        <v>6</v>
      </c>
      <c r="H40" s="2" t="n">
        <v>3</v>
      </c>
      <c r="I40" s="2" t="n">
        <v>3</v>
      </c>
      <c r="J40" s="5" t="n">
        <f aca="false">H40*I40</f>
        <v>9</v>
      </c>
      <c r="K40" s="2" t="s">
        <v>106</v>
      </c>
      <c r="L40" s="6" t="s">
        <v>22</v>
      </c>
      <c r="M40" s="3" t="s">
        <v>23</v>
      </c>
      <c r="N40" s="3"/>
      <c r="O40" s="3" t="s">
        <v>204</v>
      </c>
    </row>
    <row r="41" customFormat="false" ht="45" hidden="false" customHeight="true" outlineLevel="0" collapsed="false">
      <c r="A41" s="7" t="s">
        <v>205</v>
      </c>
      <c r="B41" s="8" t="s">
        <v>206</v>
      </c>
      <c r="C41" s="8" t="s">
        <v>207</v>
      </c>
      <c r="D41" s="8" t="s">
        <v>208</v>
      </c>
      <c r="E41" s="8" t="s">
        <v>209</v>
      </c>
      <c r="F41" s="10" t="s">
        <v>42</v>
      </c>
      <c r="G41" s="7" t="n">
        <v>4</v>
      </c>
      <c r="H41" s="7" t="n">
        <v>4</v>
      </c>
      <c r="I41" s="7" t="n">
        <v>5</v>
      </c>
      <c r="J41" s="9" t="n">
        <f aca="false">H41*I41</f>
        <v>20</v>
      </c>
      <c r="K41" s="7" t="s">
        <v>21</v>
      </c>
      <c r="L41" s="6" t="s">
        <v>22</v>
      </c>
      <c r="M41" s="8" t="s">
        <v>23</v>
      </c>
      <c r="N41" s="8"/>
      <c r="O41" s="8" t="s">
        <v>210</v>
      </c>
    </row>
    <row r="42" customFormat="false" ht="45" hidden="false" customHeight="true" outlineLevel="0" collapsed="false">
      <c r="A42" s="2" t="s">
        <v>211</v>
      </c>
      <c r="B42" s="3" t="s">
        <v>206</v>
      </c>
      <c r="C42" s="3" t="s">
        <v>212</v>
      </c>
      <c r="D42" s="3" t="s">
        <v>213</v>
      </c>
      <c r="E42" s="3" t="s">
        <v>209</v>
      </c>
      <c r="F42" s="11" t="s">
        <v>57</v>
      </c>
      <c r="G42" s="2" t="n">
        <v>5</v>
      </c>
      <c r="H42" s="2" t="n">
        <v>3</v>
      </c>
      <c r="I42" s="2" t="n">
        <v>3</v>
      </c>
      <c r="J42" s="5" t="n">
        <f aca="false">H42*I42</f>
        <v>9</v>
      </c>
      <c r="K42" s="2" t="s">
        <v>58</v>
      </c>
      <c r="L42" s="6" t="s">
        <v>22</v>
      </c>
      <c r="M42" s="3" t="s">
        <v>205</v>
      </c>
      <c r="N42" s="3"/>
      <c r="O42" s="3" t="s">
        <v>214</v>
      </c>
    </row>
    <row r="43" customFormat="false" ht="45" hidden="false" customHeight="true" outlineLevel="0" collapsed="false">
      <c r="A43" s="7" t="s">
        <v>215</v>
      </c>
      <c r="B43" s="8" t="s">
        <v>206</v>
      </c>
      <c r="C43" s="8" t="s">
        <v>216</v>
      </c>
      <c r="D43" s="8" t="s">
        <v>217</v>
      </c>
      <c r="E43" s="8" t="s">
        <v>209</v>
      </c>
      <c r="F43" s="11" t="s">
        <v>57</v>
      </c>
      <c r="G43" s="7" t="n">
        <v>4</v>
      </c>
      <c r="H43" s="7" t="n">
        <v>3</v>
      </c>
      <c r="I43" s="7" t="n">
        <v>4</v>
      </c>
      <c r="J43" s="9" t="n">
        <f aca="false">H43*I43</f>
        <v>12</v>
      </c>
      <c r="K43" s="7" t="s">
        <v>21</v>
      </c>
      <c r="L43" s="6" t="s">
        <v>22</v>
      </c>
      <c r="M43" s="8" t="s">
        <v>23</v>
      </c>
      <c r="N43" s="8"/>
      <c r="O43" s="8" t="s">
        <v>218</v>
      </c>
    </row>
    <row r="44" customFormat="false" ht="45" hidden="false" customHeight="true" outlineLevel="0" collapsed="false">
      <c r="A44" s="2" t="s">
        <v>219</v>
      </c>
      <c r="B44" s="3" t="s">
        <v>206</v>
      </c>
      <c r="C44" s="3" t="s">
        <v>220</v>
      </c>
      <c r="D44" s="3" t="s">
        <v>221</v>
      </c>
      <c r="E44" s="3" t="s">
        <v>209</v>
      </c>
      <c r="F44" s="12" t="s">
        <v>105</v>
      </c>
      <c r="G44" s="2" t="n">
        <v>5</v>
      </c>
      <c r="H44" s="2" t="n">
        <v>3</v>
      </c>
      <c r="I44" s="2" t="n">
        <v>3</v>
      </c>
      <c r="J44" s="5" t="n">
        <f aca="false">H44*I44</f>
        <v>9</v>
      </c>
      <c r="K44" s="2" t="s">
        <v>106</v>
      </c>
      <c r="L44" s="6" t="s">
        <v>22</v>
      </c>
      <c r="M44" s="3" t="s">
        <v>23</v>
      </c>
      <c r="N44" s="3"/>
      <c r="O44" s="3" t="s">
        <v>222</v>
      </c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8" min="3" style="0" width="15"/>
    <col collapsed="false" customWidth="true" hidden="false" outlineLevel="0" max="9" min="9" style="0" width="20"/>
  </cols>
  <sheetData>
    <row r="2" customFormat="false" ht="19.7" hidden="false" customHeight="false" outlineLevel="0" collapsed="false">
      <c r="B2" s="13" t="s">
        <v>223</v>
      </c>
    </row>
    <row r="4" customFormat="false" ht="15" hidden="false" customHeight="false" outlineLevel="0" collapsed="false">
      <c r="B4" s="14" t="s">
        <v>224</v>
      </c>
      <c r="C4" s="14" t="s">
        <v>20</v>
      </c>
      <c r="D4" s="14" t="s">
        <v>42</v>
      </c>
      <c r="E4" s="14" t="s">
        <v>57</v>
      </c>
      <c r="F4" s="14" t="s">
        <v>105</v>
      </c>
      <c r="G4" s="14" t="s">
        <v>225</v>
      </c>
    </row>
    <row r="5" customFormat="false" ht="29.15" hidden="false" customHeight="false" outlineLevel="0" collapsed="false">
      <c r="B5" s="15" t="n">
        <f aca="false">COUNTA('Task Backlog'!A2:A44)</f>
        <v>43</v>
      </c>
      <c r="C5" s="16" t="n">
        <f aca="false">COUNTIF('Task Backlog'!F2:F44,"Critical")</f>
        <v>6</v>
      </c>
      <c r="D5" s="17" t="n">
        <f aca="false">COUNTIF('Task Backlog'!F2:F44,"High")</f>
        <v>15</v>
      </c>
      <c r="E5" s="18" t="n">
        <f aca="false">COUNTIF('Task Backlog'!F2:F44,"Medium")</f>
        <v>17</v>
      </c>
      <c r="F5" s="19" t="n">
        <f aca="false">COUNTIF('Task Backlog'!F2:F44,"Low")</f>
        <v>5</v>
      </c>
      <c r="G5" s="15" t="n">
        <f aca="false">SUM('Task Backlog'!G2:G44)</f>
        <v>232</v>
      </c>
    </row>
    <row r="8" customFormat="false" ht="15" hidden="false" customHeight="false" outlineLevel="0" collapsed="false">
      <c r="B8" s="20" t="s">
        <v>226</v>
      </c>
    </row>
    <row r="9" customFormat="false" ht="15" hidden="false" customHeight="false" outlineLevel="0" collapsed="false">
      <c r="B9" s="1" t="s">
        <v>1</v>
      </c>
      <c r="C9" s="1" t="s">
        <v>227</v>
      </c>
      <c r="D9" s="1" t="s">
        <v>6</v>
      </c>
      <c r="E9" s="1" t="s">
        <v>228</v>
      </c>
    </row>
    <row r="10" customFormat="false" ht="15" hidden="false" customHeight="false" outlineLevel="0" collapsed="false">
      <c r="B10" s="21" t="s">
        <v>16</v>
      </c>
      <c r="C10" s="22" t="n">
        <f aca="false">COUNTIF('Task Backlog'!B2:B44,B10)</f>
        <v>4</v>
      </c>
      <c r="D10" s="22" t="n">
        <f aca="false">SUMIF('Task Backlog'!B2:B44,B10,'Task Backlog'!G2:G44)</f>
        <v>21</v>
      </c>
      <c r="E10" s="22" t="n">
        <f aca="false">IFERROR(AVERAGEIF('Task Backlog'!B2:B44,B10,'Task Backlog'!J2:J44),"-")</f>
        <v>20</v>
      </c>
    </row>
    <row r="11" customFormat="false" ht="15" hidden="false" customHeight="false" outlineLevel="0" collapsed="false">
      <c r="B11" s="21" t="s">
        <v>38</v>
      </c>
      <c r="C11" s="22" t="n">
        <f aca="false">COUNTIF('Task Backlog'!B2:B44,B11)</f>
        <v>6</v>
      </c>
      <c r="D11" s="22" t="n">
        <f aca="false">SUMIF('Task Backlog'!B2:B44,B11,'Task Backlog'!G2:G44)</f>
        <v>23</v>
      </c>
      <c r="E11" s="22" t="n">
        <f aca="false">IFERROR(AVERAGEIF('Task Backlog'!B2:B44,B11,'Task Backlog'!J2:J44),"-")</f>
        <v>16.8333333333333</v>
      </c>
    </row>
    <row r="12" customFormat="false" ht="15" hidden="false" customHeight="false" outlineLevel="0" collapsed="false">
      <c r="B12" s="21" t="s">
        <v>70</v>
      </c>
      <c r="C12" s="22" t="n">
        <f aca="false">COUNTIF('Task Backlog'!B2:B44,B12)</f>
        <v>4</v>
      </c>
      <c r="D12" s="22" t="n">
        <f aca="false">SUMIF('Task Backlog'!B2:B44,B12,'Task Backlog'!G2:G44)</f>
        <v>28</v>
      </c>
      <c r="E12" s="22" t="n">
        <f aca="false">IFERROR(AVERAGEIF('Task Backlog'!B2:B44,B12,'Task Backlog'!J2:J44),"-")</f>
        <v>15.5</v>
      </c>
    </row>
    <row r="13" customFormat="false" ht="15" hidden="false" customHeight="false" outlineLevel="0" collapsed="false">
      <c r="B13" s="21" t="s">
        <v>89</v>
      </c>
      <c r="C13" s="22" t="n">
        <f aca="false">COUNTIF('Task Backlog'!B2:B44,B13)</f>
        <v>4</v>
      </c>
      <c r="D13" s="22" t="n">
        <f aca="false">SUMIF('Task Backlog'!B2:B44,B13,'Task Backlog'!G2:G44)</f>
        <v>20</v>
      </c>
      <c r="E13" s="22" t="n">
        <f aca="false">IFERROR(AVERAGEIF('Task Backlog'!B2:B44,B13,'Task Backlog'!J2:J44),"-")</f>
        <v>12.75</v>
      </c>
    </row>
    <row r="14" customFormat="false" ht="15" hidden="false" customHeight="false" outlineLevel="0" collapsed="false">
      <c r="B14" s="21" t="s">
        <v>109</v>
      </c>
      <c r="C14" s="22" t="n">
        <f aca="false">COUNTIF('Task Backlog'!B2:B44,B14)</f>
        <v>5</v>
      </c>
      <c r="D14" s="22" t="n">
        <f aca="false">SUMIF('Task Backlog'!B2:B44,B14,'Task Backlog'!G2:G44)</f>
        <v>38</v>
      </c>
      <c r="E14" s="22" t="n">
        <f aca="false">IFERROR(AVERAGEIF('Task Backlog'!B2:B44,B14,'Task Backlog'!J2:J44),"-")</f>
        <v>12</v>
      </c>
    </row>
    <row r="15" customFormat="false" ht="15" hidden="false" customHeight="false" outlineLevel="0" collapsed="false">
      <c r="B15" s="21" t="s">
        <v>131</v>
      </c>
      <c r="C15" s="22" t="n">
        <f aca="false">COUNTIF('Task Backlog'!B2:B44,B15)</f>
        <v>3</v>
      </c>
      <c r="D15" s="22" t="n">
        <f aca="false">SUMIF('Task Backlog'!B2:B44,B15,'Task Backlog'!G2:G44)</f>
        <v>13</v>
      </c>
      <c r="E15" s="22" t="n">
        <f aca="false">IFERROR(AVERAGEIF('Task Backlog'!B2:B44,B15,'Task Backlog'!J2:J44),"-")</f>
        <v>14.6666666666667</v>
      </c>
    </row>
    <row r="16" customFormat="false" ht="15" hidden="false" customHeight="false" outlineLevel="0" collapsed="false">
      <c r="B16" s="21" t="s">
        <v>145</v>
      </c>
      <c r="C16" s="22" t="n">
        <f aca="false">COUNTIF('Task Backlog'!B2:B44,B16)</f>
        <v>4</v>
      </c>
      <c r="D16" s="22" t="n">
        <f aca="false">SUMIF('Task Backlog'!B2:B44,B16,'Task Backlog'!G2:G44)</f>
        <v>29</v>
      </c>
      <c r="E16" s="22" t="n">
        <f aca="false">IFERROR(AVERAGEIF('Task Backlog'!B2:B44,B16,'Task Backlog'!J2:J44),"-")</f>
        <v>11.5</v>
      </c>
    </row>
    <row r="17" customFormat="false" ht="15" hidden="false" customHeight="false" outlineLevel="0" collapsed="false">
      <c r="B17" s="21" t="s">
        <v>165</v>
      </c>
      <c r="C17" s="22" t="n">
        <f aca="false">COUNTIF('Task Backlog'!B2:B44,B17)</f>
        <v>4</v>
      </c>
      <c r="D17" s="22" t="n">
        <f aca="false">SUMIF('Task Backlog'!B2:B44,B17,'Task Backlog'!G2:G44)</f>
        <v>17</v>
      </c>
      <c r="E17" s="22" t="n">
        <f aca="false">IFERROR(AVERAGEIF('Task Backlog'!B2:B44,B17,'Task Backlog'!J2:J44),"-")</f>
        <v>16.75</v>
      </c>
    </row>
    <row r="18" customFormat="false" ht="15" hidden="false" customHeight="false" outlineLevel="0" collapsed="false">
      <c r="B18" s="21" t="s">
        <v>184</v>
      </c>
      <c r="C18" s="22" t="n">
        <f aca="false">COUNTIF('Task Backlog'!B2:B44,B18)</f>
        <v>5</v>
      </c>
      <c r="D18" s="22" t="n">
        <f aca="false">SUMIF('Task Backlog'!B2:B44,B18,'Task Backlog'!G2:G44)</f>
        <v>25</v>
      </c>
      <c r="E18" s="22" t="n">
        <f aca="false">IFERROR(AVERAGEIF('Task Backlog'!B2:B44,B18,'Task Backlog'!J2:J44),"-")</f>
        <v>14</v>
      </c>
    </row>
    <row r="19" customFormat="false" ht="15" hidden="false" customHeight="false" outlineLevel="0" collapsed="false">
      <c r="B19" s="21" t="s">
        <v>206</v>
      </c>
      <c r="C19" s="22" t="n">
        <f aca="false">COUNTIF('Task Backlog'!B2:B44,B19)</f>
        <v>4</v>
      </c>
      <c r="D19" s="22" t="n">
        <f aca="false">SUMIF('Task Backlog'!B2:B44,B19,'Task Backlog'!G2:G44)</f>
        <v>18</v>
      </c>
      <c r="E19" s="22" t="n">
        <f aca="false">IFERROR(AVERAGEIF('Task Backlog'!B2:B44,B19,'Task Backlog'!J2:J44),"-")</f>
        <v>12.5</v>
      </c>
    </row>
    <row r="20" customFormat="false" ht="15" hidden="false" customHeight="false" outlineLevel="0" collapsed="false">
      <c r="B20" s="23" t="s">
        <v>229</v>
      </c>
      <c r="C20" s="24" t="n">
        <f aca="false">SUM(C10:C19)</f>
        <v>43</v>
      </c>
      <c r="D20" s="24" t="n">
        <f aca="false">SUM(D10:D19)</f>
        <v>232</v>
      </c>
      <c r="E20" s="25"/>
    </row>
    <row r="23" customFormat="false" ht="15" hidden="false" customHeight="false" outlineLevel="0" collapsed="false">
      <c r="B23" s="20" t="s">
        <v>230</v>
      </c>
    </row>
    <row r="24" customFormat="false" ht="15" hidden="false" customHeight="false" outlineLevel="0" collapsed="false">
      <c r="B24" s="1" t="s">
        <v>10</v>
      </c>
      <c r="C24" s="1" t="s">
        <v>227</v>
      </c>
      <c r="D24" s="1" t="s">
        <v>6</v>
      </c>
      <c r="E24" s="1" t="s">
        <v>20</v>
      </c>
      <c r="F24" s="1" t="s">
        <v>42</v>
      </c>
    </row>
    <row r="25" customFormat="false" ht="15" hidden="false" customHeight="false" outlineLevel="0" collapsed="false">
      <c r="B25" s="21" t="s">
        <v>21</v>
      </c>
      <c r="C25" s="22" t="n">
        <f aca="false">COUNTIF('Task Backlog'!K2:K44,B25)</f>
        <v>17</v>
      </c>
      <c r="D25" s="22" t="n">
        <f aca="false">SUMIF('Task Backlog'!K2:K44,B25,'Task Backlog'!G2:G44)</f>
        <v>77</v>
      </c>
      <c r="E25" s="22" t="n">
        <f aca="false">COUNTIFS('Task Backlog'!K2:K44,B25,'Task Backlog'!F2:F44,"Critical")</f>
        <v>6</v>
      </c>
      <c r="F25" s="22" t="n">
        <f aca="false">COUNTIFS('Task Backlog'!K2:K44,B25,'Task Backlog'!F2:F44,"High")</f>
        <v>7</v>
      </c>
    </row>
    <row r="26" customFormat="false" ht="15" hidden="false" customHeight="false" outlineLevel="0" collapsed="false">
      <c r="B26" s="21" t="s">
        <v>58</v>
      </c>
      <c r="C26" s="22" t="n">
        <f aca="false">COUNTIF('Task Backlog'!K2:K44,B26)</f>
        <v>19</v>
      </c>
      <c r="D26" s="22" t="n">
        <f aca="false">SUMIF('Task Backlog'!K2:K44,B26,'Task Backlog'!G2:G44)</f>
        <v>100</v>
      </c>
      <c r="E26" s="22" t="n">
        <f aca="false">COUNTIFS('Task Backlog'!K2:K44,B26,'Task Backlog'!F2:F44,"Critical")</f>
        <v>0</v>
      </c>
      <c r="F26" s="22" t="n">
        <f aca="false">COUNTIFS('Task Backlog'!K2:K44,B26,'Task Backlog'!F2:F44,"High")</f>
        <v>8</v>
      </c>
    </row>
    <row r="27" customFormat="false" ht="15" hidden="false" customHeight="false" outlineLevel="0" collapsed="false">
      <c r="B27" s="21" t="s">
        <v>106</v>
      </c>
      <c r="C27" s="22" t="n">
        <f aca="false">COUNTIF('Task Backlog'!K2:K44,B27)</f>
        <v>7</v>
      </c>
      <c r="D27" s="22" t="n">
        <f aca="false">SUMIF('Task Backlog'!K2:K44,B27,'Task Backlog'!G2:G44)</f>
        <v>55</v>
      </c>
      <c r="E27" s="22" t="n">
        <f aca="false">COUNTIFS('Task Backlog'!K2:K44,B27,'Task Backlog'!F2:F44,"Critical")</f>
        <v>0</v>
      </c>
      <c r="F27" s="22" t="n">
        <f aca="false">COUNTIFS('Task Backlog'!K2:K44,B27,'Task Backlog'!F2:F44,"High")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3" t="s">
        <v>231</v>
      </c>
    </row>
    <row r="4" customFormat="false" ht="16.15" hidden="false" customHeight="false" outlineLevel="0" collapsed="false">
      <c r="B4" s="26" t="s">
        <v>232</v>
      </c>
      <c r="C4" s="26"/>
      <c r="D4" s="26"/>
      <c r="E4" s="26"/>
      <c r="F4" s="26"/>
    </row>
    <row r="5" customFormat="false" ht="23.85" hidden="false" customHeight="false" outlineLevel="0" collapsed="false">
      <c r="B5" s="27" t="s">
        <v>233</v>
      </c>
      <c r="C5" s="28" t="s">
        <v>234</v>
      </c>
    </row>
    <row r="7" customFormat="false" ht="15" hidden="false" customHeight="false" outlineLevel="0" collapsed="false">
      <c r="B7" s="1" t="s">
        <v>235</v>
      </c>
      <c r="C7" s="1" t="s">
        <v>236</v>
      </c>
      <c r="D7" s="1" t="s">
        <v>237</v>
      </c>
      <c r="E7" s="1" t="s">
        <v>238</v>
      </c>
      <c r="F7" s="1" t="s">
        <v>239</v>
      </c>
    </row>
    <row r="8" customFormat="false" ht="23.85" hidden="false" customHeight="false" outlineLevel="0" collapsed="false">
      <c r="B8" s="3" t="s">
        <v>240</v>
      </c>
      <c r="C8" s="3" t="s">
        <v>241</v>
      </c>
      <c r="D8" s="3" t="s">
        <v>242</v>
      </c>
      <c r="E8" s="3" t="s">
        <v>243</v>
      </c>
      <c r="F8" s="3" t="s">
        <v>244</v>
      </c>
    </row>
    <row r="9" customFormat="false" ht="23.85" hidden="false" customHeight="false" outlineLevel="0" collapsed="false">
      <c r="B9" s="8" t="s">
        <v>245</v>
      </c>
      <c r="C9" s="8" t="s">
        <v>246</v>
      </c>
      <c r="D9" s="8" t="s">
        <v>247</v>
      </c>
      <c r="E9" s="8" t="s">
        <v>248</v>
      </c>
      <c r="F9" s="8" t="s">
        <v>48</v>
      </c>
    </row>
    <row r="10" customFormat="false" ht="23.85" hidden="false" customHeight="false" outlineLevel="0" collapsed="false">
      <c r="B10" s="3" t="s">
        <v>249</v>
      </c>
      <c r="C10" s="3" t="s">
        <v>250</v>
      </c>
      <c r="D10" s="3" t="s">
        <v>251</v>
      </c>
      <c r="E10" s="3" t="s">
        <v>252</v>
      </c>
      <c r="F10" s="3" t="s">
        <v>253</v>
      </c>
    </row>
    <row r="11" customFormat="false" ht="23.85" hidden="false" customHeight="false" outlineLevel="0" collapsed="false">
      <c r="B11" s="8" t="s">
        <v>254</v>
      </c>
      <c r="C11" s="8" t="s">
        <v>255</v>
      </c>
      <c r="D11" s="8" t="s">
        <v>247</v>
      </c>
      <c r="E11" s="8" t="s">
        <v>256</v>
      </c>
      <c r="F11" s="8" t="s">
        <v>257</v>
      </c>
    </row>
    <row r="12" customFormat="false" ht="15" hidden="false" customHeight="false" outlineLevel="0" collapsed="false">
      <c r="B12" s="3" t="s">
        <v>165</v>
      </c>
      <c r="C12" s="3" t="s">
        <v>258</v>
      </c>
      <c r="D12" s="3" t="s">
        <v>251</v>
      </c>
      <c r="E12" s="3" t="s">
        <v>259</v>
      </c>
      <c r="F12" s="3" t="s">
        <v>260</v>
      </c>
    </row>
    <row r="13" customFormat="false" ht="23.85" hidden="false" customHeight="false" outlineLevel="0" collapsed="false">
      <c r="B13" s="8" t="s">
        <v>261</v>
      </c>
      <c r="C13" s="8" t="s">
        <v>262</v>
      </c>
      <c r="D13" s="8" t="s">
        <v>242</v>
      </c>
      <c r="E13" s="8" t="s">
        <v>263</v>
      </c>
      <c r="F13" s="8" t="s">
        <v>183</v>
      </c>
    </row>
    <row r="14" customFormat="false" ht="23.85" hidden="false" customHeight="false" outlineLevel="0" collapsed="false">
      <c r="B14" s="3" t="s">
        <v>206</v>
      </c>
      <c r="C14" s="3" t="s">
        <v>264</v>
      </c>
      <c r="D14" s="3" t="s">
        <v>242</v>
      </c>
      <c r="E14" s="3" t="s">
        <v>265</v>
      </c>
      <c r="F14" s="3" t="s">
        <v>266</v>
      </c>
    </row>
    <row r="15" customFormat="false" ht="23.85" hidden="false" customHeight="false" outlineLevel="0" collapsed="false">
      <c r="B15" s="8" t="s">
        <v>267</v>
      </c>
      <c r="C15" s="8" t="s">
        <v>268</v>
      </c>
      <c r="D15" s="8" t="s">
        <v>269</v>
      </c>
      <c r="E15" s="8" t="s">
        <v>270</v>
      </c>
      <c r="F15" s="8" t="s">
        <v>83</v>
      </c>
    </row>
    <row r="18" customFormat="false" ht="16.15" hidden="false" customHeight="false" outlineLevel="0" collapsed="false">
      <c r="B18" s="29" t="s">
        <v>271</v>
      </c>
      <c r="C18" s="29"/>
      <c r="D18" s="29"/>
      <c r="E18" s="29"/>
      <c r="F18" s="29"/>
    </row>
    <row r="19" customFormat="false" ht="23.85" hidden="false" customHeight="false" outlineLevel="0" collapsed="false">
      <c r="B19" s="27" t="s">
        <v>233</v>
      </c>
      <c r="C19" s="28" t="s">
        <v>272</v>
      </c>
    </row>
    <row r="21" customFormat="false" ht="15" hidden="false" customHeight="false" outlineLevel="0" collapsed="false">
      <c r="B21" s="1" t="s">
        <v>235</v>
      </c>
      <c r="C21" s="1" t="s">
        <v>236</v>
      </c>
      <c r="D21" s="1" t="s">
        <v>237</v>
      </c>
      <c r="E21" s="1" t="s">
        <v>238</v>
      </c>
      <c r="F21" s="1" t="s">
        <v>239</v>
      </c>
    </row>
    <row r="22" customFormat="false" ht="23.85" hidden="false" customHeight="false" outlineLevel="0" collapsed="false">
      <c r="B22" s="3" t="s">
        <v>273</v>
      </c>
      <c r="C22" s="3" t="s">
        <v>274</v>
      </c>
      <c r="D22" s="3" t="s">
        <v>242</v>
      </c>
      <c r="E22" s="3" t="s">
        <v>275</v>
      </c>
      <c r="F22" s="3" t="s">
        <v>69</v>
      </c>
    </row>
    <row r="23" customFormat="false" ht="23.85" hidden="false" customHeight="false" outlineLevel="0" collapsed="false">
      <c r="B23" s="8" t="s">
        <v>276</v>
      </c>
      <c r="C23" s="8" t="s">
        <v>277</v>
      </c>
      <c r="D23" s="8" t="s">
        <v>278</v>
      </c>
      <c r="E23" s="8" t="s">
        <v>279</v>
      </c>
      <c r="F23" s="8" t="s">
        <v>280</v>
      </c>
    </row>
    <row r="24" customFormat="false" ht="15" hidden="false" customHeight="false" outlineLevel="0" collapsed="false">
      <c r="B24" s="3" t="s">
        <v>281</v>
      </c>
      <c r="C24" s="3" t="s">
        <v>282</v>
      </c>
      <c r="D24" s="3" t="s">
        <v>242</v>
      </c>
      <c r="E24" s="3" t="s">
        <v>283</v>
      </c>
      <c r="F24" s="3" t="s">
        <v>284</v>
      </c>
    </row>
    <row r="25" customFormat="false" ht="15" hidden="false" customHeight="false" outlineLevel="0" collapsed="false">
      <c r="B25" s="8" t="s">
        <v>109</v>
      </c>
      <c r="C25" s="8" t="s">
        <v>285</v>
      </c>
      <c r="D25" s="8" t="s">
        <v>286</v>
      </c>
      <c r="E25" s="8" t="s">
        <v>287</v>
      </c>
      <c r="F25" s="8" t="s">
        <v>288</v>
      </c>
    </row>
    <row r="26" customFormat="false" ht="23.85" hidden="false" customHeight="false" outlineLevel="0" collapsed="false">
      <c r="B26" s="3" t="s">
        <v>131</v>
      </c>
      <c r="C26" s="3" t="s">
        <v>289</v>
      </c>
      <c r="D26" s="3" t="s">
        <v>290</v>
      </c>
      <c r="E26" s="3" t="s">
        <v>291</v>
      </c>
      <c r="F26" s="3" t="s">
        <v>292</v>
      </c>
    </row>
    <row r="27" customFormat="false" ht="23.85" hidden="false" customHeight="false" outlineLevel="0" collapsed="false">
      <c r="B27" s="8" t="s">
        <v>293</v>
      </c>
      <c r="C27" s="8" t="s">
        <v>294</v>
      </c>
      <c r="D27" s="8" t="s">
        <v>242</v>
      </c>
      <c r="E27" s="8" t="s">
        <v>295</v>
      </c>
      <c r="F27" s="8" t="s">
        <v>144</v>
      </c>
    </row>
    <row r="28" customFormat="false" ht="23.85" hidden="false" customHeight="false" outlineLevel="0" collapsed="false">
      <c r="B28" s="3" t="s">
        <v>296</v>
      </c>
      <c r="C28" s="3" t="s">
        <v>297</v>
      </c>
      <c r="D28" s="3" t="s">
        <v>251</v>
      </c>
      <c r="E28" s="3" t="s">
        <v>298</v>
      </c>
      <c r="F28" s="3" t="s">
        <v>299</v>
      </c>
    </row>
    <row r="29" customFormat="false" ht="15" hidden="false" customHeight="false" outlineLevel="0" collapsed="false">
      <c r="B29" s="8" t="s">
        <v>300</v>
      </c>
      <c r="C29" s="8" t="s">
        <v>301</v>
      </c>
      <c r="D29" s="8" t="s">
        <v>242</v>
      </c>
      <c r="E29" s="8" t="s">
        <v>302</v>
      </c>
      <c r="F29" s="8" t="s">
        <v>303</v>
      </c>
    </row>
    <row r="32" customFormat="false" ht="16.15" hidden="false" customHeight="false" outlineLevel="0" collapsed="false">
      <c r="B32" s="30" t="s">
        <v>304</v>
      </c>
      <c r="C32" s="30"/>
      <c r="D32" s="30"/>
      <c r="E32" s="30"/>
      <c r="F32" s="30"/>
    </row>
    <row r="33" customFormat="false" ht="23.85" hidden="false" customHeight="false" outlineLevel="0" collapsed="false">
      <c r="B33" s="27" t="s">
        <v>233</v>
      </c>
      <c r="C33" s="28" t="s">
        <v>305</v>
      </c>
    </row>
    <row r="35" customFormat="false" ht="15" hidden="false" customHeight="false" outlineLevel="0" collapsed="false">
      <c r="B35" s="1" t="s">
        <v>235</v>
      </c>
      <c r="C35" s="1" t="s">
        <v>236</v>
      </c>
      <c r="D35" s="1" t="s">
        <v>237</v>
      </c>
      <c r="E35" s="1" t="s">
        <v>238</v>
      </c>
      <c r="F35" s="1" t="s">
        <v>239</v>
      </c>
    </row>
    <row r="36" customFormat="false" ht="15" hidden="false" customHeight="false" outlineLevel="0" collapsed="false">
      <c r="B36" s="3" t="s">
        <v>145</v>
      </c>
      <c r="C36" s="3" t="s">
        <v>306</v>
      </c>
      <c r="D36" s="3" t="s">
        <v>307</v>
      </c>
      <c r="E36" s="3" t="s">
        <v>308</v>
      </c>
      <c r="F36" s="3" t="s">
        <v>309</v>
      </c>
    </row>
    <row r="37" customFormat="false" ht="23.85" hidden="false" customHeight="false" outlineLevel="0" collapsed="false">
      <c r="B37" s="8" t="s">
        <v>310</v>
      </c>
      <c r="C37" s="8" t="s">
        <v>311</v>
      </c>
      <c r="D37" s="8" t="s">
        <v>312</v>
      </c>
      <c r="E37" s="8" t="s">
        <v>313</v>
      </c>
      <c r="F37" s="8" t="s">
        <v>314</v>
      </c>
    </row>
    <row r="38" customFormat="false" ht="23.85" hidden="false" customHeight="false" outlineLevel="0" collapsed="false">
      <c r="B38" s="3" t="s">
        <v>315</v>
      </c>
      <c r="C38" s="3" t="s">
        <v>316</v>
      </c>
      <c r="D38" s="3" t="s">
        <v>317</v>
      </c>
      <c r="E38" s="3" t="s">
        <v>318</v>
      </c>
      <c r="F38" s="3" t="s">
        <v>319</v>
      </c>
    </row>
    <row r="39" customFormat="false" ht="23.85" hidden="false" customHeight="false" outlineLevel="0" collapsed="false">
      <c r="B39" s="8" t="s">
        <v>320</v>
      </c>
      <c r="C39" s="8" t="s">
        <v>321</v>
      </c>
      <c r="D39" s="8" t="s">
        <v>322</v>
      </c>
      <c r="E39" s="8" t="s">
        <v>323</v>
      </c>
      <c r="F39" s="8" t="s">
        <v>219</v>
      </c>
    </row>
  </sheetData>
  <mergeCells count="3">
    <mergeCell ref="B4:F4"/>
    <mergeCell ref="B18:F18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6" min="5" style="0" width="20"/>
  </cols>
  <sheetData>
    <row r="2" customFormat="false" ht="19.7" hidden="false" customHeight="false" outlineLevel="0" collapsed="false">
      <c r="B2" s="13" t="s">
        <v>324</v>
      </c>
    </row>
    <row r="4" customFormat="false" ht="15" hidden="false" customHeight="false" outlineLevel="0" collapsed="false">
      <c r="B4" s="1" t="s">
        <v>0</v>
      </c>
      <c r="C4" s="1" t="s">
        <v>325</v>
      </c>
      <c r="D4" s="1" t="s">
        <v>326</v>
      </c>
      <c r="E4" s="1" t="s">
        <v>327</v>
      </c>
      <c r="F4" s="1" t="s">
        <v>328</v>
      </c>
    </row>
    <row r="5" customFormat="false" ht="49.5" hidden="false" customHeight="true" outlineLevel="0" collapsed="false">
      <c r="B5" s="3" t="s">
        <v>329</v>
      </c>
      <c r="C5" s="3" t="s">
        <v>330</v>
      </c>
      <c r="D5" s="3" t="s">
        <v>331</v>
      </c>
      <c r="E5" s="3" t="s">
        <v>332</v>
      </c>
      <c r="F5" s="3" t="s">
        <v>333</v>
      </c>
    </row>
    <row r="6" customFormat="false" ht="49.5" hidden="false" customHeight="true" outlineLevel="0" collapsed="false">
      <c r="B6" s="8" t="s">
        <v>334</v>
      </c>
      <c r="C6" s="8" t="s">
        <v>335</v>
      </c>
      <c r="D6" s="8" t="s">
        <v>336</v>
      </c>
      <c r="E6" s="8" t="s">
        <v>337</v>
      </c>
      <c r="F6" s="8" t="s">
        <v>338</v>
      </c>
    </row>
    <row r="7" customFormat="false" ht="49.5" hidden="false" customHeight="true" outlineLevel="0" collapsed="false">
      <c r="B7" s="3" t="s">
        <v>339</v>
      </c>
      <c r="C7" s="3" t="s">
        <v>340</v>
      </c>
      <c r="D7" s="3" t="s">
        <v>341</v>
      </c>
      <c r="E7" s="3" t="s">
        <v>342</v>
      </c>
      <c r="F7" s="3" t="s">
        <v>343</v>
      </c>
    </row>
    <row r="8" customFormat="false" ht="49.5" hidden="false" customHeight="true" outlineLevel="0" collapsed="false">
      <c r="B8" s="8" t="s">
        <v>344</v>
      </c>
      <c r="C8" s="8" t="s">
        <v>345</v>
      </c>
      <c r="D8" s="8" t="s">
        <v>346</v>
      </c>
      <c r="E8" s="8" t="s">
        <v>347</v>
      </c>
      <c r="F8" s="8" t="s">
        <v>348</v>
      </c>
    </row>
    <row r="9" customFormat="false" ht="49.5" hidden="false" customHeight="true" outlineLevel="0" collapsed="false">
      <c r="B9" s="3" t="s">
        <v>349</v>
      </c>
      <c r="C9" s="3" t="s">
        <v>350</v>
      </c>
      <c r="D9" s="3" t="s">
        <v>351</v>
      </c>
      <c r="E9" s="3" t="s">
        <v>352</v>
      </c>
      <c r="F9" s="3" t="s">
        <v>353</v>
      </c>
    </row>
    <row r="10" customFormat="false" ht="49.5" hidden="false" customHeight="true" outlineLevel="0" collapsed="false">
      <c r="B10" s="8" t="s">
        <v>354</v>
      </c>
      <c r="C10" s="8" t="s">
        <v>355</v>
      </c>
      <c r="D10" s="8" t="s">
        <v>356</v>
      </c>
      <c r="E10" s="8" t="s">
        <v>357</v>
      </c>
      <c r="F10" s="8" t="s">
        <v>358</v>
      </c>
    </row>
    <row r="11" customFormat="false" ht="49.5" hidden="false" customHeight="true" outlineLevel="0" collapsed="false">
      <c r="B11" s="3" t="s">
        <v>359</v>
      </c>
      <c r="C11" s="3" t="s">
        <v>360</v>
      </c>
      <c r="D11" s="3" t="s">
        <v>361</v>
      </c>
      <c r="E11" s="3" t="s">
        <v>362</v>
      </c>
      <c r="F11" s="3" t="s">
        <v>363</v>
      </c>
    </row>
    <row r="12" customFormat="false" ht="49.5" hidden="false" customHeight="true" outlineLevel="0" collapsed="false">
      <c r="B12" s="8" t="s">
        <v>364</v>
      </c>
      <c r="C12" s="8" t="s">
        <v>365</v>
      </c>
      <c r="D12" s="8" t="s">
        <v>366</v>
      </c>
      <c r="E12" s="8" t="s">
        <v>367</v>
      </c>
      <c r="F12" s="8" t="s">
        <v>368</v>
      </c>
    </row>
    <row r="13" customFormat="false" ht="49.5" hidden="false" customHeight="true" outlineLevel="0" collapsed="false">
      <c r="B13" s="3" t="s">
        <v>369</v>
      </c>
      <c r="C13" s="3" t="s">
        <v>131</v>
      </c>
      <c r="D13" s="3" t="s">
        <v>370</v>
      </c>
      <c r="E13" s="3" t="s">
        <v>371</v>
      </c>
      <c r="F13" s="3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2026-03-09T15:45:43Z</dcterms:created>
  <dc:creator>openpyxl</dc:creator>
  <dc:description/>
  <dc:language>en-US</dc:language>
  <cp:lastModifiedBy/>
  <dcterms:modified xsi:type="dcterms:W3CDTF">2026-03-09T15:45:43Z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